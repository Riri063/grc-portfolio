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yar\Desktop\GRC PORTFOLIO\"/>
    </mc:Choice>
  </mc:AlternateContent>
  <xr:revisionPtr revIDLastSave="0" documentId="13_ncr:1_{D334BB7C-F801-451F-96F7-843411E52A29}" xr6:coauthVersionLast="47" xr6:coauthVersionMax="47" xr10:uidLastSave="{00000000-0000-0000-0000-000000000000}"/>
  <bookViews>
    <workbookView xWindow="-108" yWindow="-108" windowWidth="23256" windowHeight="14856" tabRatio="500" firstSheet="1" activeTab="1" xr2:uid="{00000000-000D-0000-FFFF-FFFF00000000}"/>
  </bookViews>
  <sheets>
    <sheet name="Risk Register" sheetId="1" r:id="rId1"/>
    <sheet name="Scoring Scale" sheetId="2" r:id="rId2"/>
    <sheet name="Control Library" sheetId="3" r:id="rId3"/>
    <sheet name="Risk Appetite" sheetId="4" r:id="rId4"/>
    <sheet name="Methodology" sheetId="5" r:id="rId5"/>
    <sheet name="Dashboard" sheetId="6" r:id="rId6"/>
    <sheet name="Heat Map" sheetId="7" r:id="rId7"/>
    <sheet name="Third-Party Register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5" i="1" l="1"/>
  <c r="F9" i="7"/>
  <c r="E9" i="7"/>
  <c r="D9" i="7"/>
  <c r="C9" i="7"/>
  <c r="B9" i="7"/>
  <c r="F8" i="7"/>
  <c r="E8" i="7"/>
  <c r="D8" i="7"/>
  <c r="C8" i="7"/>
  <c r="B8" i="7"/>
  <c r="F7" i="7"/>
  <c r="E7" i="7"/>
  <c r="D7" i="7"/>
  <c r="C7" i="7"/>
  <c r="B7" i="7"/>
  <c r="F6" i="7"/>
  <c r="E6" i="7"/>
  <c r="D6" i="7"/>
  <c r="C6" i="7"/>
  <c r="B6" i="7"/>
  <c r="F5" i="7"/>
  <c r="E5" i="7"/>
  <c r="D5" i="7"/>
  <c r="C5" i="7"/>
  <c r="B5" i="7"/>
  <c r="B15" i="6"/>
  <c r="C15" i="6" s="1"/>
  <c r="B14" i="6"/>
  <c r="C14" i="6" s="1"/>
  <c r="B13" i="6"/>
  <c r="C13" i="6" s="1"/>
  <c r="B12" i="6"/>
  <c r="B8" i="6"/>
  <c r="B7" i="6"/>
  <c r="B6" i="6"/>
  <c r="M19" i="1"/>
  <c r="P19" i="1" s="1"/>
  <c r="F19" i="1"/>
  <c r="O19" i="1" s="1"/>
  <c r="M18" i="1"/>
  <c r="Q18" i="1" s="1"/>
  <c r="F18" i="1"/>
  <c r="O18" i="1" s="1"/>
  <c r="P17" i="1"/>
  <c r="O17" i="1"/>
  <c r="M17" i="1"/>
  <c r="F17" i="1"/>
  <c r="M16" i="1"/>
  <c r="Q16" i="1" s="1"/>
  <c r="F16" i="1"/>
  <c r="O16" i="1" s="1"/>
  <c r="O15" i="1"/>
  <c r="M15" i="1"/>
  <c r="Q15" i="1" s="1"/>
  <c r="F15" i="1"/>
  <c r="M14" i="1"/>
  <c r="Q14" i="1" s="1"/>
  <c r="F14" i="1"/>
  <c r="O14" i="1" s="1"/>
  <c r="M13" i="1"/>
  <c r="Q13" i="1" s="1"/>
  <c r="F13" i="1"/>
  <c r="O13" i="1" s="1"/>
  <c r="P12" i="1"/>
  <c r="M12" i="1"/>
  <c r="F12" i="1"/>
  <c r="O12" i="1" s="1"/>
  <c r="M11" i="1"/>
  <c r="Q11" i="1" s="1"/>
  <c r="F11" i="1"/>
  <c r="O11" i="1" s="1"/>
  <c r="P10" i="1"/>
  <c r="O10" i="1"/>
  <c r="M10" i="1"/>
  <c r="F10" i="1"/>
  <c r="M9" i="1"/>
  <c r="Q9" i="1" s="1"/>
  <c r="F9" i="1"/>
  <c r="O9" i="1" s="1"/>
  <c r="M8" i="1"/>
  <c r="Q7" i="1" s="1"/>
  <c r="F8" i="1"/>
  <c r="O8" i="1" s="1"/>
  <c r="M7" i="1"/>
  <c r="P7" i="1" s="1"/>
  <c r="F7" i="1"/>
  <c r="O7" i="1" s="1"/>
  <c r="M6" i="1"/>
  <c r="Q19" i="1" s="1"/>
  <c r="F6" i="1"/>
  <c r="O6" i="1" s="1"/>
  <c r="P5" i="1"/>
  <c r="M5" i="1"/>
  <c r="F5" i="1"/>
  <c r="Q12" i="1" l="1"/>
  <c r="Q5" i="1"/>
  <c r="P8" i="1"/>
  <c r="Q8" i="1"/>
  <c r="P13" i="1"/>
  <c r="P6" i="1"/>
  <c r="E8" i="6" s="1"/>
  <c r="P18" i="1"/>
  <c r="Q6" i="1"/>
  <c r="P11" i="1"/>
  <c r="Q17" i="1"/>
  <c r="P15" i="1"/>
  <c r="P16" i="1"/>
  <c r="P9" i="1"/>
  <c r="P14" i="1"/>
  <c r="Q10" i="1"/>
  <c r="H12" i="6" l="1"/>
  <c r="G12" i="6"/>
  <c r="H14" i="6"/>
  <c r="F12" i="6"/>
  <c r="G14" i="6"/>
  <c r="F14" i="6"/>
  <c r="G13" i="6"/>
  <c r="F13" i="6"/>
  <c r="H13" i="6"/>
  <c r="E7" i="6"/>
  <c r="E6" i="6"/>
</calcChain>
</file>

<file path=xl/sharedStrings.xml><?xml version="1.0" encoding="utf-8"?>
<sst xmlns="http://schemas.openxmlformats.org/spreadsheetml/2006/main" count="382" uniqueCount="285">
  <si>
    <t>Risk Register</t>
  </si>
  <si>
    <t>Cyber, Operational &amp; Compliance Risk Portfolio — Enterprise Risk Register</t>
  </si>
  <si>
    <t>ID</t>
  </si>
  <si>
    <t>Risk Description</t>
  </si>
  <si>
    <t>Category</t>
  </si>
  <si>
    <t>Likelihood</t>
  </si>
  <si>
    <t>Impact</t>
  </si>
  <si>
    <t>Inherent Rating</t>
  </si>
  <si>
    <t>Existing Controls</t>
  </si>
  <si>
    <t>Treatment Plan</t>
  </si>
  <si>
    <t>Treatment Type</t>
  </si>
  <si>
    <t>Owner</t>
  </si>
  <si>
    <t>Residual Likelihood</t>
  </si>
  <si>
    <t>Residual Impact</t>
  </si>
  <si>
    <t>Residual Rating</t>
  </si>
  <si>
    <t>Target Date</t>
  </si>
  <si>
    <t>Inherent Band</t>
  </si>
  <si>
    <t>Residual Band</t>
  </si>
  <si>
    <t>Residual Rank</t>
  </si>
  <si>
    <t>R01</t>
  </si>
  <si>
    <t>Phishing attack leads to compromised employee credentials, enabling unauthorised system access.</t>
  </si>
  <si>
    <t>Cyber</t>
  </si>
  <si>
    <t>C01, C02</t>
  </si>
  <si>
    <t>Roll out mandatory quarterly phishing simulations; enforce MFA on all cloud and email accounts.</t>
  </si>
  <si>
    <t>Treat</t>
  </si>
  <si>
    <t>Head of IT Security</t>
  </si>
  <si>
    <t>2026-11-30</t>
  </si>
  <si>
    <t>R02</t>
  </si>
  <si>
    <t>Ransomware infection encrypts production systems, halting business operations.</t>
  </si>
  <si>
    <t>C02, C03, C10</t>
  </si>
  <si>
    <t>Deploy EDR across all endpoints; validate immutable, offline backups with quarterly restore tests.</t>
  </si>
  <si>
    <t>2026-12-15</t>
  </si>
  <si>
    <t>R03</t>
  </si>
  <si>
    <t>Unpatched critical vulnerabilities on internet-facing systems are exploited by threat actors.</t>
  </si>
  <si>
    <t>C04</t>
  </si>
  <si>
    <t>Implement 14-day SLA for critical patches; add continuous external vulnerability scanning.</t>
  </si>
  <si>
    <t>IT Infrastructure Manager</t>
  </si>
  <si>
    <t>2026-11-15</t>
  </si>
  <si>
    <t>R04</t>
  </si>
  <si>
    <t>Malicious or negligent insider exfiltrates sensitive customer or financial data.</t>
  </si>
  <si>
    <t>C05, C11</t>
  </si>
  <si>
    <t>Deploy DLP on email and endpoints; enforce least-privilege access reviews every 6 months.</t>
  </si>
  <si>
    <t>2027-01-31</t>
  </si>
  <si>
    <t>R05</t>
  </si>
  <si>
    <t>Cloud storage misconfiguration exposes sensitive data to the public internet.</t>
  </si>
  <si>
    <t>C06</t>
  </si>
  <si>
    <t>Enable CSPM tooling with automated alerts and remediation playbooks for public storage exposure.</t>
  </si>
  <si>
    <t>Cloud Platform Owner</t>
  </si>
  <si>
    <t>2026-10-31</t>
  </si>
  <si>
    <t>R06</t>
  </si>
  <si>
    <t>Loss of key personnel results in loss of critical operational or technical knowledge.</t>
  </si>
  <si>
    <t>Operational</t>
  </si>
  <si>
    <t>C07</t>
  </si>
  <si>
    <t>Document critical processes; implement cross-training and formal succession plans for key roles.</t>
  </si>
  <si>
    <t>Head of Operations</t>
  </si>
  <si>
    <t>2027-02-28</t>
  </si>
  <si>
    <t>R07</t>
  </si>
  <si>
    <t>Inadequate disaster recovery plan leads to extended downtime after a major incident.</t>
  </si>
  <si>
    <t>C08, C10</t>
  </si>
  <si>
    <t>Formalise and test DR plan annually; define and validate RTO/RPO targets with the business.</t>
  </si>
  <si>
    <t>Head of IT Infrastructure</t>
  </si>
  <si>
    <t>2027-03-31</t>
  </si>
  <si>
    <t>R08</t>
  </si>
  <si>
    <t>Disruption at a single-source critical supplier halts a core business process.</t>
  </si>
  <si>
    <t>C09</t>
  </si>
  <si>
    <t>Identify and qualify secondary suppliers for critical inputs; build contingency stock where feasible.</t>
  </si>
  <si>
    <t>Procurement Lead</t>
  </si>
  <si>
    <t>2027-01-15</t>
  </si>
  <si>
    <t>R09</t>
  </si>
  <si>
    <t>Inadequate backup procedures result in permanent loss of business-critical data.</t>
  </si>
  <si>
    <t>C10</t>
  </si>
  <si>
    <t>Automate daily backups with quarterly restore testing and offsite/immutable copies.</t>
  </si>
  <si>
    <t>R10</t>
  </si>
  <si>
    <t>Physical security breach at office or data centre leads to theft, damage, or unauthorised access.</t>
  </si>
  <si>
    <t>C11</t>
  </si>
  <si>
    <t>Upgrade badge access control and CCTV coverage; introduce formal visitor management process.</t>
  </si>
  <si>
    <t>Facilities Manager</t>
  </si>
  <si>
    <t>2027-02-15</t>
  </si>
  <si>
    <t>R11</t>
  </si>
  <si>
    <t>Non-compliance with GDPR / data protection requirements results in regulatory fines and reputational harm.</t>
  </si>
  <si>
    <t>Compliance</t>
  </si>
  <si>
    <t>C12, C14</t>
  </si>
  <si>
    <t>Conduct DPIAs for all new processing activities; appoint DPO and run annual compliance audit.</t>
  </si>
  <si>
    <t>Data Protection Officer</t>
  </si>
  <si>
    <t>2026-12-31</t>
  </si>
  <si>
    <t>R12</t>
  </si>
  <si>
    <t>Failure to meet industry regulatory reporting deadlines results in penalties or sanctions.</t>
  </si>
  <si>
    <t>C13</t>
  </si>
  <si>
    <t>Implement a centralised compliance calendar with automated reminders and owner sign-off.</t>
  </si>
  <si>
    <t>Compliance Manager</t>
  </si>
  <si>
    <t>R13</t>
  </si>
  <si>
    <t>Inadequate records retention practices cause failure to produce records for e-discovery or audit.</t>
  </si>
  <si>
    <t>C14</t>
  </si>
  <si>
    <t>Publish records retention and disposal schedule; train staff and audit compliance annually.</t>
  </si>
  <si>
    <t>R14</t>
  </si>
  <si>
    <t>Non-compliance with PCI DSS in handling payment card data leads to fines and loss of processing rights.</t>
  </si>
  <si>
    <t>C15</t>
  </si>
  <si>
    <t>Segment cardholder data environment; encrypt data in transit and at rest; complete annual PCI audit.</t>
  </si>
  <si>
    <t>2027-03-15</t>
  </si>
  <si>
    <t>R15</t>
  </si>
  <si>
    <t>Inadequate due diligence on third parties results in onboarding vendors with unacceptable risk exposure.</t>
  </si>
  <si>
    <t>C16</t>
  </si>
  <si>
    <t>Mandate security and compliance questionnaires before onboarding; review high-risk vendors annually.</t>
  </si>
  <si>
    <t>Tolerate</t>
  </si>
  <si>
    <t>2027-04-30</t>
  </si>
  <si>
    <t>Legend:</t>
  </si>
  <si>
    <t>Blue-outlined columns (Likelihood, Impact, Residual Likelihood, Residual Impact, Existing Controls, Treatment Plan/Type, Owner, Target Date) are the editable inputs.</t>
  </si>
  <si>
    <t>Existing Controls references Control IDs from the Control Library tab (e.g. C02 = Multi-Factor Authentication).</t>
  </si>
  <si>
    <t>Scoring Scale</t>
  </si>
  <si>
    <t>Definitions used to score Likelihood and Impact across the Risk Register (1 = lowest, 5 = highest)</t>
  </si>
  <si>
    <t>Score</t>
  </si>
  <si>
    <t>Likelihood Definition</t>
  </si>
  <si>
    <t>Impact Definition</t>
  </si>
  <si>
    <t>Rare — may occur only in exceptional circumstances (e.g. less than once every 5 years)</t>
  </si>
  <si>
    <t>Negligible — minimal disruption; no material financial or reputational impact</t>
  </si>
  <si>
    <t>Unlikely — could occur at some point (e.g. once every 2-5 years)</t>
  </si>
  <si>
    <t>Minor — limited disruption; low financial impact; no external visibility</t>
  </si>
  <si>
    <t>Possible — might occur at some point (e.g. roughly once a year)</t>
  </si>
  <si>
    <t>Moderate — noticeable disruption; moderate financial impact; some stakeholder or media attention</t>
  </si>
  <si>
    <t>Likely — will probably occur (e.g. multiple times per year)</t>
  </si>
  <si>
    <t>Major — significant disruption; high financial impact; regulatory or senior management attention</t>
  </si>
  <si>
    <t>Almost Certain — expected to occur, possibly frequently (e.g. monthly or more often)</t>
  </si>
  <si>
    <t>Severe — critical disruption to operations; severe financial/reputational impact; potential regulatory or legal action</t>
  </si>
  <si>
    <t>Rating bands used throughout this workbook: Inherent/Residual Rating = Likelihood x Impact.</t>
  </si>
  <si>
    <t>Control Library</t>
  </si>
  <si>
    <t>Reusable catalogue of controls referenced by ID in the Risk Register</t>
  </si>
  <si>
    <t>Control ID</t>
  </si>
  <si>
    <t>Control Name</t>
  </si>
  <si>
    <t>Description</t>
  </si>
  <si>
    <t>Effect</t>
  </si>
  <si>
    <t>C01</t>
  </si>
  <si>
    <t>Security Awareness Training</t>
  </si>
  <si>
    <t>Administrative</t>
  </si>
  <si>
    <t>Mandatory staff training and simulated phishing exercises to reduce susceptibility to social engineering.</t>
  </si>
  <si>
    <t>Reduces likelihood</t>
  </si>
  <si>
    <t>C02</t>
  </si>
  <si>
    <t>Multi-Factor Authentication (MFA)</t>
  </si>
  <si>
    <t>Technical</t>
  </si>
  <si>
    <t>MFA enforced on email, VPN, cloud administration and other critical systems.</t>
  </si>
  <si>
    <t>C03</t>
  </si>
  <si>
    <t>Endpoint Detection &amp; Response (EDR)</t>
  </si>
  <si>
    <t>Automated detection, containment and response to malware and ransomware on endpoints.</t>
  </si>
  <si>
    <t>Reduces impact</t>
  </si>
  <si>
    <t>Patch Management Programme</t>
  </si>
  <si>
    <t>Scheduled vulnerability scanning and a defined SLA for patching critical systems.</t>
  </si>
  <si>
    <t>C05</t>
  </si>
  <si>
    <t>Data Loss Prevention (DLP)</t>
  </si>
  <si>
    <t>Monitors and blocks unauthorised transfer of sensitive data via email, web and removable media.</t>
  </si>
  <si>
    <t>Both</t>
  </si>
  <si>
    <t>Cloud Security Posture Management (CSPM)</t>
  </si>
  <si>
    <t>Continuous automated scanning of cloud environments for misconfigurations and public exposure.</t>
  </si>
  <si>
    <t>Succession Planning &amp; Cross-training</t>
  </si>
  <si>
    <t>Documented knowledge transfer and backup coverage for roles holding critical knowledge.</t>
  </si>
  <si>
    <t>C08</t>
  </si>
  <si>
    <t>Business Continuity / DR Plan</t>
  </si>
  <si>
    <t>Documented and tested continuity plan with defined recovery time and point objectives.</t>
  </si>
  <si>
    <t>Supplier Risk Assessment</t>
  </si>
  <si>
    <t>Due diligence, criticality rating and contingency planning for key suppliers.</t>
  </si>
  <si>
    <t>Backup &amp; Recovery Testing</t>
  </si>
  <si>
    <t>Automated, immutable backups with scheduled restore testing to confirm recoverability.</t>
  </si>
  <si>
    <t>Physical Access Control</t>
  </si>
  <si>
    <t>Physical</t>
  </si>
  <si>
    <t>Badge access, CCTV monitoring and visitor management at offices and data centres.</t>
  </si>
  <si>
    <t>C12</t>
  </si>
  <si>
    <t>Data Protection Impact Assessments (DPIA)</t>
  </si>
  <si>
    <t>Structured privacy risk assessment performed before new personal data processing begins.</t>
  </si>
  <si>
    <t>Compliance Calendar &amp; Tracking</t>
  </si>
  <si>
    <t>Centralised register of regulatory deadlines with automated reminders and owner sign-off.</t>
  </si>
  <si>
    <t>Records Retention Policy</t>
  </si>
  <si>
    <t>Defined retention and disposal schedules covering all major record types.</t>
  </si>
  <si>
    <t>PCI DSS Segmentation &amp; Encryption</t>
  </si>
  <si>
    <t>Network segmentation of the cardholder data environment with encryption in transit and at rest.</t>
  </si>
  <si>
    <t>Third-Party Due Diligence Programme</t>
  </si>
  <si>
    <t>Security and compliance questionnaires and risk scoring completed before vendor onboarding.</t>
  </si>
  <si>
    <t>Risk Appetite</t>
  </si>
  <si>
    <t>Statement of the level of risk the organisation is willing to accept in pursuit of its objectives</t>
  </si>
  <si>
    <t>The organisation has a low appetite for data breaches and regulatory non-compliance, given the potential for significant financial penalties, legal exposure and reputational harm. It has a moderate appetite for operational risk, accepting a degree of disruption where it is well controlled and does not threaten continuity of core services. It has a higher appetite for innovation-related risk, recognising that experimentation and controlled risk-taking are necessary to remain competitive and to support business growth.</t>
  </si>
  <si>
    <t>Appetite to Tolerance Mapping</t>
  </si>
  <si>
    <t>Risk Category</t>
  </si>
  <si>
    <t>Appetite Level</t>
  </si>
  <si>
    <t>Residual Rating Tolerance</t>
  </si>
  <si>
    <t>Escalation Trigger</t>
  </si>
  <si>
    <t>Data breaches / regulatory compliance</t>
  </si>
  <si>
    <t>Low</t>
  </si>
  <si>
    <t>Any residual rating above 6 escalated to the Board within 5 business days</t>
  </si>
  <si>
    <t>Operational risk</t>
  </si>
  <si>
    <t>Moderate</t>
  </si>
  <si>
    <t>Any residual rating above 12 escalated to senior management</t>
  </si>
  <si>
    <t>Innovation-related risk</t>
  </si>
  <si>
    <t>Higher</t>
  </si>
  <si>
    <t>Residual rating above 15 requires Executive Committee sign-off</t>
  </si>
  <si>
    <t>Methodology</t>
  </si>
  <si>
    <t>How this risk portfolio was built</t>
  </si>
  <si>
    <t>Inherent vs. Residual Risk</t>
  </si>
  <si>
    <t>•  Inherent risk is scored assuming no controls are in place; it reflects the raw likelihood and impact of the risk event.</t>
  </si>
  <si>
    <t>•  Residual risk is scored after considering the existing controls listed in the Risk Register, reflecting the risk that remains once those controls are applied.</t>
  </si>
  <si>
    <t>•  Both are calculated the same way (Likelihood x Impact) so they can be compared directly and the risk reduction achieved by controls is visible.</t>
  </si>
  <si>
    <t>Likelihood x Impact Scoring</t>
  </si>
  <si>
    <t>•  Each risk is scored on a 1-5 scale for both Likelihood and Impact, as defined on the Scoring Scale tab.</t>
  </si>
  <si>
    <t>•  The Rating is calculated as Likelihood x Impact, producing a score from 1 to 25.</t>
  </si>
  <si>
    <t>How Appetite Influenced Treatment Decisions</t>
  </si>
  <si>
    <t>•  Risks in categories where the organisation has low appetite (e.g. data breaches, regulatory compliance) were treated down to a Low residual rating wherever practicable.</t>
  </si>
  <si>
    <t>•  Risks in categories with moderate or higher appetite (e.g. general operational risk) were treated to a Medium residual rating where further reduction was not cost-justified.</t>
  </si>
  <si>
    <t>•  Where residual risk already sat within the organisation's stated tolerance and further treatment cost outweighed the benefit, the risk was tolerated rather than further treated (e.g. R15).</t>
  </si>
  <si>
    <t>How Controls Were Selected</t>
  </si>
  <si>
    <t>•  Controls were drawn from the Control Library tab, which catalogues reusable technical, administrative and physical controls.</t>
  </si>
  <si>
    <t>•  Each risk references the specific Control ID(s) that materially reduce its likelihood and/or impact.</t>
  </si>
  <si>
    <t>•  Controls were selected to target the dominant driver of each risk: likelihood-reducing controls (e.g. MFA, patching) for risks driven by exposure, and impact-reducing controls (e.g. backups, DR planning) for risks driven by consequence severity.</t>
  </si>
  <si>
    <t>How the 15 Risks Were Scored</t>
  </si>
  <si>
    <t>•  Risks were identified across three categories — Cyber, Operational and Compliance — with five risks in each to give a balanced portfolio.</t>
  </si>
  <si>
    <t>•  Likelihood and Impact were scored based on typical industry incident frequency and severity benchmarks for each risk type.</t>
  </si>
  <si>
    <t>•  Residual scores were then derived by estimating the effect of the existing/planned controls on the inherent score.</t>
  </si>
  <si>
    <t>How the Heat Map and Dashboard Were Built</t>
  </si>
  <si>
    <t>•  The Heat Map tab uses COUNTIFS formulas to count how many risks fall into each of the 25 Likelihood x Impact combinations, based on inherent scores from the Risk Register.</t>
  </si>
  <si>
    <t>•  The Dashboard tab uses COUNTIFS and RANK formulas to summarise risk counts by category, by rating band, by treatment status, and to surface the top 3 risks by residual rating, with supporting bar and pie charts.</t>
  </si>
  <si>
    <t>Dashboard</t>
  </si>
  <si>
    <t>Portfolio summary — 15 risks across Cyber, Operational &amp; Compliance</t>
  </si>
  <si>
    <t>Risks by Category</t>
  </si>
  <si>
    <t>Residual Risk by Rating Band</t>
  </si>
  <si>
    <t>Count</t>
  </si>
  <si>
    <t>Band</t>
  </si>
  <si>
    <t>Medium</t>
  </si>
  <si>
    <t>High</t>
  </si>
  <si>
    <t>Treatment Status</t>
  </si>
  <si>
    <t>Top 3 Risks by Residual Rating</t>
  </si>
  <si>
    <t>% of Total</t>
  </si>
  <si>
    <t>Rank</t>
  </si>
  <si>
    <t>Transfer</t>
  </si>
  <si>
    <t>Terminate</t>
  </si>
  <si>
    <t>Heat Map</t>
  </si>
  <si>
    <t>Inherent risk heat map — count of risks by Likelihood x Impact combination</t>
  </si>
  <si>
    <t>Likelihood ↓ / Impact →</t>
  </si>
  <si>
    <t>Impact →</t>
  </si>
  <si>
    <t>Grid shows the count of risks (inherent Likelihood x Impact) from the Risk Register in each cell.</t>
  </si>
  <si>
    <t>Third-Party Register</t>
  </si>
  <si>
    <t>Vendors and service providers with material exposure to the organisation</t>
  </si>
  <si>
    <t>Vendor</t>
  </si>
  <si>
    <t>Service</t>
  </si>
  <si>
    <t>Criticality</t>
  </si>
  <si>
    <t>Key Risks</t>
  </si>
  <si>
    <t>Key Controls</t>
  </si>
  <si>
    <t>Status</t>
  </si>
  <si>
    <t>AWS</t>
  </si>
  <si>
    <t>Cloud infrastructure hosting</t>
  </si>
  <si>
    <t>Critical</t>
  </si>
  <si>
    <t>Service outage; data breach via misconfiguration; concentration risk</t>
  </si>
  <si>
    <t>CSPM monitoring (C06); contractual SLAs; DR plan across regions (C08)</t>
  </si>
  <si>
    <t>Active</t>
  </si>
  <si>
    <t>Payroll Provider</t>
  </si>
  <si>
    <t>Outsourced payroll processing</t>
  </si>
  <si>
    <t>Data breach of employee PII; processing errors; service disruption</t>
  </si>
  <si>
    <t>Vendor due diligence (C16); encrypted data transfer; SLA monitoring</t>
  </si>
  <si>
    <t>IT Managed Service Provider</t>
  </si>
  <si>
    <t>Helpdesk &amp; infrastructure support</t>
  </si>
  <si>
    <t>Privileged access misuse; inadequate incident response</t>
  </si>
  <si>
    <t>Access reviews (C11); contractual security requirements; DPIA (C12)</t>
  </si>
  <si>
    <t>Payment Processor</t>
  </si>
  <si>
    <t>Card payment processing</t>
  </si>
  <si>
    <t>PCI DSS non-compliance; cardholder data exposure</t>
  </si>
  <si>
    <t>Network segmentation &amp; encryption (C15); annual PCI audit</t>
  </si>
  <si>
    <t>HR SaaS Platform</t>
  </si>
  <si>
    <t>Core HR / people data system</t>
  </si>
  <si>
    <t>Data breach of employee records; vendor lock-in</t>
  </si>
  <si>
    <t>DPIA on onboarding (C12); due diligence questionnaire (C16)</t>
  </si>
  <si>
    <t>Microsoft 365</t>
  </si>
  <si>
    <t>Email &amp; collaboration platform</t>
  </si>
  <si>
    <t>Account compromise; data loss; phishing vector</t>
  </si>
  <si>
    <t>MFA (C02); DLP (C05); security awareness training (C01)</t>
  </si>
  <si>
    <t>External Legal Counsel</t>
  </si>
  <si>
    <t>Legal advisory services</t>
  </si>
  <si>
    <t>Confidentiality breach; conflict of interest</t>
  </si>
  <si>
    <t>NDA in place; access limited to named matters</t>
  </si>
  <si>
    <t>Marketing Agency</t>
  </si>
  <si>
    <t>Digital marketing &amp; campaign management</t>
  </si>
  <si>
    <t>Brand/reputational risk; limited data access</t>
  </si>
  <si>
    <t>Contractual brand guidelines; annual review</t>
  </si>
  <si>
    <t>Under Review</t>
  </si>
  <si>
    <t>Inherent/Residual Rating = Likelihood x Impact (auto-calculated). Band thresholds: Low 1-5, Medium 6-10, High 11-15, Critical 16-25.</t>
  </si>
  <si>
    <t>Low 1-5, Medium 6-10, High 11-15, Critical 16-25.</t>
  </si>
  <si>
    <t>Residual rating must be Low (1-5)</t>
  </si>
  <si>
    <t>Residual rating up to Medium (6-10) accepted with active monitoring</t>
  </si>
  <si>
    <t>Residual rating up to High (11-15) accepted to support growth initiatives</t>
  </si>
  <si>
    <t>•  Scores are grouped into three bands for reporting: Low (1-5), Medium (6-10), High (11-15) and Critical (16-25).</t>
  </si>
  <si>
    <t>•  Cells are colour-coded Low/Medium/High/Critical using the same rating bands applied throughout the workbook.</t>
  </si>
  <si>
    <t>Colour key:  Green = Low (1-6)   Amber = Medium (7-12)   Red = High (13-25) Dark red (16-25)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</si>
</sst>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color rgb="FF1F3864"/>
      <name val="Arial"/>
      <charset val="1"/>
    </font>
    <font>
      <b/>
      <sz val="12"/>
      <name val="Arial"/>
      <charset val="1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6" borderId="0" applyNumberFormat="0" applyBorder="0" applyAlignment="0" applyProtection="0"/>
  </cellStyleXfs>
  <cellXfs count="26">
    <xf numFmtId="0" fontId="0" fillId="0" borderId="0" xfId="0"/>
    <xf numFmtId="0" fontId="4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9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vertical="top" wrapText="1"/>
    </xf>
  </cellXfs>
  <cellStyles count="2">
    <cellStyle name="Accent2" xfId="1" builtinId="33"/>
    <cellStyle name="Normal" xfId="0" builtinId="0"/>
  </cellStyles>
  <dxfs count="9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Risks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Dashboard!$A$6:$A$8</c:f>
              <c:strCache>
                <c:ptCount val="3"/>
                <c:pt idx="0">
                  <c:v>Operational</c:v>
                </c:pt>
                <c:pt idx="1">
                  <c:v>Cyber</c:v>
                </c:pt>
                <c:pt idx="2">
                  <c:v>Compliance</c:v>
                </c:pt>
              </c:strCache>
            </c:strRef>
          </c:cat>
          <c:val>
            <c:numRef>
              <c:f>Dashboard!$B$6:$B$8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B-4908-9E96-6A53F220D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513114"/>
        <c:axId val="85532039"/>
      </c:barChart>
      <c:catAx>
        <c:axId val="815131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532039"/>
        <c:crosses val="autoZero"/>
        <c:auto val="1"/>
        <c:lblAlgn val="ctr"/>
        <c:lblOffset val="100"/>
        <c:noMultiLvlLbl val="0"/>
      </c:catAx>
      <c:valAx>
        <c:axId val="855320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Number of Risks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5131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Residual Risk by Rating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AD9-4070-902D-7395D0485D8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AD9-4070-902D-7395D0485D8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AD9-4070-902D-7395D0485D8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D9-4070-902D-7395D0485D88}"/>
                </c:ext>
              </c:extLst>
            </c:dLbl>
            <c:dLbl>
              <c:idx val="1"/>
              <c:layout>
                <c:manualLayout>
                  <c:x val="0.17070658432439595"/>
                  <c:y val="1.0162898740664197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D9-4070-902D-7395D0485D88}"/>
                </c:ext>
              </c:extLst>
            </c:dLbl>
            <c:dLbl>
              <c:idx val="2"/>
              <c:layout>
                <c:manualLayout>
                  <c:x val="-0.21244573359014338"/>
                  <c:y val="-5.9725617696230394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D9-4070-902D-7395D0485D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Dashboard!$D$6:$D$8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Dashboard!$E$6:$E$8</c:f>
              <c:numCache>
                <c:formatCode>General</c:formatCode>
                <c:ptCount val="3"/>
                <c:pt idx="0">
                  <c:v>14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D9-4070-902D-7395D0485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Treatment Type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Dashboard!$A$12:$A$15</c:f>
              <c:strCache>
                <c:ptCount val="4"/>
                <c:pt idx="0">
                  <c:v>Treat</c:v>
                </c:pt>
                <c:pt idx="1">
                  <c:v>Tolerate</c:v>
                </c:pt>
                <c:pt idx="2">
                  <c:v>Transfer</c:v>
                </c:pt>
                <c:pt idx="3">
                  <c:v>Terminate</c:v>
                </c:pt>
              </c:strCache>
            </c:strRef>
          </c:cat>
          <c:val>
            <c:numRef>
              <c:f>Dashboard!$B$12:$B$15</c:f>
              <c:numCache>
                <c:formatCode>General</c:formatCode>
                <c:ptCount val="4"/>
                <c:pt idx="0">
                  <c:v>14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7-4663-A43C-5C1173AF8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92031"/>
        <c:axId val="6756915"/>
      </c:barChart>
      <c:catAx>
        <c:axId val="7029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56915"/>
        <c:crosses val="autoZero"/>
        <c:auto val="1"/>
        <c:lblAlgn val="ctr"/>
        <c:lblOffset val="100"/>
        <c:noMultiLvlLbl val="0"/>
      </c:catAx>
      <c:valAx>
        <c:axId val="675691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2920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115560</xdr:rowOff>
    </xdr:from>
    <xdr:to>
      <xdr:col>5</xdr:col>
      <xdr:colOff>153360</xdr:colOff>
      <xdr:row>28</xdr:row>
      <xdr:rowOff>174000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647700</xdr:colOff>
      <xdr:row>14</xdr:row>
      <xdr:rowOff>161280</xdr:rowOff>
    </xdr:from>
    <xdr:to>
      <xdr:col>9</xdr:col>
      <xdr:colOff>137940</xdr:colOff>
      <xdr:row>40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69840</xdr:rowOff>
    </xdr:from>
    <xdr:to>
      <xdr:col>5</xdr:col>
      <xdr:colOff>153360</xdr:colOff>
      <xdr:row>41</xdr:row>
      <xdr:rowOff>113040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showGridLines="0" topLeftCell="B1" zoomScaleNormal="100" workbookViewId="0">
      <pane ySplit="4" topLeftCell="A12" activePane="bottomLeft" state="frozen"/>
      <selection pane="bottomLeft" activeCell="A23" sqref="A23:P23"/>
    </sheetView>
  </sheetViews>
  <sheetFormatPr defaultColWidth="8.6640625" defaultRowHeight="14.4" x14ac:dyDescent="0.3"/>
  <cols>
    <col min="1" max="1" width="7" customWidth="1"/>
    <col min="2" max="2" width="46" customWidth="1"/>
    <col min="3" max="3" width="12" customWidth="1"/>
    <col min="4" max="4" width="10" customWidth="1"/>
    <col min="5" max="5" width="8" customWidth="1"/>
    <col min="6" max="6" width="10" customWidth="1"/>
    <col min="7" max="7" width="14" customWidth="1"/>
    <col min="8" max="8" width="40" customWidth="1"/>
    <col min="9" max="9" width="12" customWidth="1"/>
    <col min="10" max="10" width="18" customWidth="1"/>
    <col min="11" max="11" width="12" customWidth="1"/>
    <col min="12" max="12" width="11" customWidth="1"/>
    <col min="13" max="13" width="10" customWidth="1"/>
    <col min="14" max="14" width="12" customWidth="1"/>
    <col min="15" max="16" width="11" customWidth="1"/>
    <col min="17" max="17" width="11" hidden="1" customWidth="1"/>
  </cols>
  <sheetData>
    <row r="1" spans="1:17" ht="24" customHeight="1" x14ac:dyDescent="0.4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7" x14ac:dyDescent="0.3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7" ht="6" customHeight="1" x14ac:dyDescent="0.3"/>
    <row r="4" spans="1:17" ht="31.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 ht="43.5" customHeight="1" x14ac:dyDescent="0.3">
      <c r="A5" s="4" t="s">
        <v>19</v>
      </c>
      <c r="B5" s="5" t="s">
        <v>20</v>
      </c>
      <c r="C5" s="4" t="s">
        <v>21</v>
      </c>
      <c r="D5" s="4">
        <v>4</v>
      </c>
      <c r="E5" s="4">
        <v>4</v>
      </c>
      <c r="F5" s="4">
        <f t="shared" ref="F5:F19" si="0">D5*E5</f>
        <v>16</v>
      </c>
      <c r="G5" s="5" t="s">
        <v>22</v>
      </c>
      <c r="H5" s="5" t="s">
        <v>23</v>
      </c>
      <c r="I5" s="4" t="s">
        <v>24</v>
      </c>
      <c r="J5" s="4" t="s">
        <v>25</v>
      </c>
      <c r="K5" s="4">
        <v>2</v>
      </c>
      <c r="L5" s="4">
        <v>3</v>
      </c>
      <c r="M5" s="4">
        <f t="shared" ref="M5:M19" si="1">K5*L5</f>
        <v>6</v>
      </c>
      <c r="N5" s="4" t="s">
        <v>26</v>
      </c>
      <c r="O5" s="21" t="str">
        <f>IF(F5&lt;=5,"Low",IF(F5&lt;=10,"Medium",IF(F5&lt;=15,"High","Critical")))</f>
        <v>Critical</v>
      </c>
      <c r="P5" s="4" t="str">
        <f t="shared" ref="P5:P19" si="2">IF(M5&lt;=6,"Low",IF(M5&lt;=12,"Medium","High"))</f>
        <v>Low</v>
      </c>
      <c r="Q5" s="4">
        <f>RANK(M5,$M$5:$M$19,0)+COUNTIF($M$5:M5,M5)-1</f>
        <v>2</v>
      </c>
    </row>
    <row r="6" spans="1:17" ht="43.5" customHeight="1" x14ac:dyDescent="0.3">
      <c r="A6" s="4" t="s">
        <v>27</v>
      </c>
      <c r="B6" s="5" t="s">
        <v>28</v>
      </c>
      <c r="C6" s="4" t="s">
        <v>21</v>
      </c>
      <c r="D6" s="4">
        <v>3</v>
      </c>
      <c r="E6" s="4">
        <v>5</v>
      </c>
      <c r="F6" s="4">
        <f t="shared" si="0"/>
        <v>15</v>
      </c>
      <c r="G6" s="5" t="s">
        <v>29</v>
      </c>
      <c r="H6" s="5" t="s">
        <v>30</v>
      </c>
      <c r="I6" s="4" t="s">
        <v>24</v>
      </c>
      <c r="J6" s="4" t="s">
        <v>25</v>
      </c>
      <c r="K6" s="4">
        <v>2</v>
      </c>
      <c r="L6" s="4">
        <v>4</v>
      </c>
      <c r="M6" s="4">
        <f t="shared" si="1"/>
        <v>8</v>
      </c>
      <c r="N6" s="4" t="s">
        <v>31</v>
      </c>
      <c r="O6" s="4" t="str">
        <f t="shared" ref="O6:O19" si="3">IF(F6&lt;=6,"Low",IF(F6&lt;=12,"Medium","High"))</f>
        <v>High</v>
      </c>
      <c r="P6" s="4" t="str">
        <f t="shared" si="2"/>
        <v>Medium</v>
      </c>
      <c r="Q6" s="4">
        <f>RANK(M6,$M$5:$M$19,0)+COUNTIF($M$5:M6,M6)-1</f>
        <v>1</v>
      </c>
    </row>
    <row r="7" spans="1:17" ht="43.5" customHeight="1" x14ac:dyDescent="0.3">
      <c r="A7" s="4" t="s">
        <v>32</v>
      </c>
      <c r="B7" s="5" t="s">
        <v>33</v>
      </c>
      <c r="C7" s="4" t="s">
        <v>21</v>
      </c>
      <c r="D7" s="4">
        <v>3</v>
      </c>
      <c r="E7" s="4">
        <v>4</v>
      </c>
      <c r="F7" s="4">
        <f t="shared" si="0"/>
        <v>12</v>
      </c>
      <c r="G7" s="5" t="s">
        <v>34</v>
      </c>
      <c r="H7" s="5" t="s">
        <v>35</v>
      </c>
      <c r="I7" s="4" t="s">
        <v>24</v>
      </c>
      <c r="J7" s="4" t="s">
        <v>36</v>
      </c>
      <c r="K7" s="4">
        <v>2</v>
      </c>
      <c r="L7" s="4">
        <v>3</v>
      </c>
      <c r="M7" s="4">
        <f t="shared" si="1"/>
        <v>6</v>
      </c>
      <c r="N7" s="4" t="s">
        <v>37</v>
      </c>
      <c r="O7" s="4" t="str">
        <f t="shared" si="3"/>
        <v>Medium</v>
      </c>
      <c r="P7" s="4" t="str">
        <f t="shared" si="2"/>
        <v>Low</v>
      </c>
      <c r="Q7" s="4">
        <f>RANK(M7,$M$5:$M$19,0)+COUNTIF($M$5:M7,M7)-1</f>
        <v>3</v>
      </c>
    </row>
    <row r="8" spans="1:17" ht="43.5" customHeight="1" x14ac:dyDescent="0.3">
      <c r="A8" s="4" t="s">
        <v>38</v>
      </c>
      <c r="B8" s="5" t="s">
        <v>39</v>
      </c>
      <c r="C8" s="4" t="s">
        <v>21</v>
      </c>
      <c r="D8" s="4">
        <v>2</v>
      </c>
      <c r="E8" s="4">
        <v>5</v>
      </c>
      <c r="F8" s="4">
        <f t="shared" si="0"/>
        <v>10</v>
      </c>
      <c r="G8" s="5" t="s">
        <v>40</v>
      </c>
      <c r="H8" s="5" t="s">
        <v>41</v>
      </c>
      <c r="I8" s="4" t="s">
        <v>24</v>
      </c>
      <c r="J8" s="4" t="s">
        <v>25</v>
      </c>
      <c r="K8" s="4">
        <v>1</v>
      </c>
      <c r="L8" s="4">
        <v>4</v>
      </c>
      <c r="M8" s="4">
        <f t="shared" si="1"/>
        <v>4</v>
      </c>
      <c r="N8" s="4" t="s">
        <v>42</v>
      </c>
      <c r="O8" s="4" t="str">
        <f t="shared" si="3"/>
        <v>Medium</v>
      </c>
      <c r="P8" s="4" t="str">
        <f t="shared" si="2"/>
        <v>Low</v>
      </c>
      <c r="Q8" s="4">
        <f>RANK(M8,$M$5:$M$19,0)+COUNTIF($M$5:M8,M8)-1</f>
        <v>5</v>
      </c>
    </row>
    <row r="9" spans="1:17" ht="43.5" customHeight="1" x14ac:dyDescent="0.3">
      <c r="A9" s="4" t="s">
        <v>43</v>
      </c>
      <c r="B9" s="5" t="s">
        <v>44</v>
      </c>
      <c r="C9" s="4" t="s">
        <v>21</v>
      </c>
      <c r="D9" s="4">
        <v>3</v>
      </c>
      <c r="E9" s="4">
        <v>4</v>
      </c>
      <c r="F9" s="4">
        <f t="shared" si="0"/>
        <v>12</v>
      </c>
      <c r="G9" s="5" t="s">
        <v>45</v>
      </c>
      <c r="H9" s="5" t="s">
        <v>46</v>
      </c>
      <c r="I9" s="4" t="s">
        <v>24</v>
      </c>
      <c r="J9" s="4" t="s">
        <v>47</v>
      </c>
      <c r="K9" s="4">
        <v>1</v>
      </c>
      <c r="L9" s="4">
        <v>4</v>
      </c>
      <c r="M9" s="4">
        <f t="shared" si="1"/>
        <v>4</v>
      </c>
      <c r="N9" s="4" t="s">
        <v>48</v>
      </c>
      <c r="O9" s="4" t="str">
        <f t="shared" si="3"/>
        <v>Medium</v>
      </c>
      <c r="P9" s="4" t="str">
        <f t="shared" si="2"/>
        <v>Low</v>
      </c>
      <c r="Q9" s="4">
        <f>RANK(M9,$M$5:$M$19,0)+COUNTIF($M$5:M9,M9)-1</f>
        <v>6</v>
      </c>
    </row>
    <row r="10" spans="1:17" ht="43.5" customHeight="1" x14ac:dyDescent="0.3">
      <c r="A10" s="4" t="s">
        <v>49</v>
      </c>
      <c r="B10" s="5" t="s">
        <v>50</v>
      </c>
      <c r="C10" s="4" t="s">
        <v>51</v>
      </c>
      <c r="D10" s="4">
        <v>3</v>
      </c>
      <c r="E10" s="4">
        <v>3</v>
      </c>
      <c r="F10" s="4">
        <f t="shared" si="0"/>
        <v>9</v>
      </c>
      <c r="G10" s="5" t="s">
        <v>52</v>
      </c>
      <c r="H10" s="5" t="s">
        <v>53</v>
      </c>
      <c r="I10" s="4" t="s">
        <v>24</v>
      </c>
      <c r="J10" s="4" t="s">
        <v>54</v>
      </c>
      <c r="K10" s="4">
        <v>2</v>
      </c>
      <c r="L10" s="4">
        <v>2</v>
      </c>
      <c r="M10" s="4">
        <f t="shared" si="1"/>
        <v>4</v>
      </c>
      <c r="N10" s="4" t="s">
        <v>55</v>
      </c>
      <c r="O10" s="4" t="str">
        <f t="shared" si="3"/>
        <v>Medium</v>
      </c>
      <c r="P10" s="4" t="str">
        <f t="shared" si="2"/>
        <v>Low</v>
      </c>
      <c r="Q10" s="4">
        <f>RANK(M10,$M$5:$M$19,0)+COUNTIF($M$5:M10,M10)-1</f>
        <v>7</v>
      </c>
    </row>
    <row r="11" spans="1:17" ht="43.5" customHeight="1" x14ac:dyDescent="0.3">
      <c r="A11" s="4" t="s">
        <v>56</v>
      </c>
      <c r="B11" s="5" t="s">
        <v>57</v>
      </c>
      <c r="C11" s="4" t="s">
        <v>51</v>
      </c>
      <c r="D11" s="4">
        <v>2</v>
      </c>
      <c r="E11" s="4">
        <v>5</v>
      </c>
      <c r="F11" s="4">
        <f t="shared" si="0"/>
        <v>10</v>
      </c>
      <c r="G11" s="5" t="s">
        <v>58</v>
      </c>
      <c r="H11" s="5" t="s">
        <v>59</v>
      </c>
      <c r="I11" s="4" t="s">
        <v>24</v>
      </c>
      <c r="J11" s="4" t="s">
        <v>60</v>
      </c>
      <c r="K11" s="4">
        <v>1</v>
      </c>
      <c r="L11" s="4">
        <v>4</v>
      </c>
      <c r="M11" s="4">
        <f t="shared" si="1"/>
        <v>4</v>
      </c>
      <c r="N11" s="4" t="s">
        <v>61</v>
      </c>
      <c r="O11" s="4" t="str">
        <f t="shared" si="3"/>
        <v>Medium</v>
      </c>
      <c r="P11" s="4" t="str">
        <f t="shared" si="2"/>
        <v>Low</v>
      </c>
      <c r="Q11" s="4">
        <f>RANK(M11,$M$5:$M$19,0)+COUNTIF($M$5:M11,M11)-1</f>
        <v>8</v>
      </c>
    </row>
    <row r="12" spans="1:17" ht="43.5" customHeight="1" x14ac:dyDescent="0.3">
      <c r="A12" s="4" t="s">
        <v>62</v>
      </c>
      <c r="B12" s="5" t="s">
        <v>63</v>
      </c>
      <c r="C12" s="4" t="s">
        <v>51</v>
      </c>
      <c r="D12" s="4">
        <v>3</v>
      </c>
      <c r="E12" s="4">
        <v>4</v>
      </c>
      <c r="F12" s="4">
        <f t="shared" si="0"/>
        <v>12</v>
      </c>
      <c r="G12" s="5" t="s">
        <v>64</v>
      </c>
      <c r="H12" s="5" t="s">
        <v>65</v>
      </c>
      <c r="I12" s="4" t="s">
        <v>24</v>
      </c>
      <c r="J12" s="4" t="s">
        <v>66</v>
      </c>
      <c r="K12" s="4">
        <v>2</v>
      </c>
      <c r="L12" s="4">
        <v>3</v>
      </c>
      <c r="M12" s="4">
        <f t="shared" si="1"/>
        <v>6</v>
      </c>
      <c r="N12" s="4" t="s">
        <v>67</v>
      </c>
      <c r="O12" s="4" t="str">
        <f t="shared" si="3"/>
        <v>Medium</v>
      </c>
      <c r="P12" s="4" t="str">
        <f t="shared" si="2"/>
        <v>Low</v>
      </c>
      <c r="Q12" s="4">
        <f>RANK(M12,$M$5:$M$19,0)+COUNTIF($M$5:M12,M12)-1</f>
        <v>4</v>
      </c>
    </row>
    <row r="13" spans="1:17" ht="43.5" customHeight="1" x14ac:dyDescent="0.3">
      <c r="A13" s="4" t="s">
        <v>68</v>
      </c>
      <c r="B13" s="5" t="s">
        <v>69</v>
      </c>
      <c r="C13" s="4" t="s">
        <v>51</v>
      </c>
      <c r="D13" s="4">
        <v>2</v>
      </c>
      <c r="E13" s="4">
        <v>4</v>
      </c>
      <c r="F13" s="4">
        <f t="shared" si="0"/>
        <v>8</v>
      </c>
      <c r="G13" s="5" t="s">
        <v>70</v>
      </c>
      <c r="H13" s="5" t="s">
        <v>71</v>
      </c>
      <c r="I13" s="4" t="s">
        <v>24</v>
      </c>
      <c r="J13" s="4" t="s">
        <v>36</v>
      </c>
      <c r="K13" s="4">
        <v>1</v>
      </c>
      <c r="L13" s="4">
        <v>3</v>
      </c>
      <c r="M13" s="4">
        <f t="shared" si="1"/>
        <v>3</v>
      </c>
      <c r="N13" s="4" t="s">
        <v>26</v>
      </c>
      <c r="O13" s="4" t="str">
        <f t="shared" si="3"/>
        <v>Medium</v>
      </c>
      <c r="P13" s="4" t="str">
        <f t="shared" si="2"/>
        <v>Low</v>
      </c>
      <c r="Q13" s="4">
        <f>RANK(M13,$M$5:$M$19,0)+COUNTIF($M$5:M13,M13)-1</f>
        <v>12</v>
      </c>
    </row>
    <row r="14" spans="1:17" ht="43.5" customHeight="1" x14ac:dyDescent="0.3">
      <c r="A14" s="4" t="s">
        <v>72</v>
      </c>
      <c r="B14" s="5" t="s">
        <v>73</v>
      </c>
      <c r="C14" s="4" t="s">
        <v>51</v>
      </c>
      <c r="D14" s="4">
        <v>2</v>
      </c>
      <c r="E14" s="4">
        <v>3</v>
      </c>
      <c r="F14" s="4">
        <f t="shared" si="0"/>
        <v>6</v>
      </c>
      <c r="G14" s="5" t="s">
        <v>74</v>
      </c>
      <c r="H14" s="5" t="s">
        <v>75</v>
      </c>
      <c r="I14" s="4" t="s">
        <v>24</v>
      </c>
      <c r="J14" s="4" t="s">
        <v>76</v>
      </c>
      <c r="K14" s="4">
        <v>1</v>
      </c>
      <c r="L14" s="4">
        <v>2</v>
      </c>
      <c r="M14" s="4">
        <f t="shared" si="1"/>
        <v>2</v>
      </c>
      <c r="N14" s="4" t="s">
        <v>77</v>
      </c>
      <c r="O14" s="4" t="str">
        <f t="shared" si="3"/>
        <v>Low</v>
      </c>
      <c r="P14" s="4" t="str">
        <f t="shared" si="2"/>
        <v>Low</v>
      </c>
      <c r="Q14" s="4">
        <f>RANK(M14,$M$5:$M$19,0)+COUNTIF($M$5:M14,M14)-1</f>
        <v>13</v>
      </c>
    </row>
    <row r="15" spans="1:17" ht="43.5" customHeight="1" x14ac:dyDescent="0.3">
      <c r="A15" s="4" t="s">
        <v>78</v>
      </c>
      <c r="B15" s="5" t="s">
        <v>79</v>
      </c>
      <c r="C15" s="4" t="s">
        <v>80</v>
      </c>
      <c r="D15" s="4">
        <v>3</v>
      </c>
      <c r="E15" s="4">
        <v>5</v>
      </c>
      <c r="F15" s="4">
        <f t="shared" si="0"/>
        <v>15</v>
      </c>
      <c r="G15" s="5" t="s">
        <v>81</v>
      </c>
      <c r="H15" s="5" t="s">
        <v>82</v>
      </c>
      <c r="I15" s="4" t="s">
        <v>24</v>
      </c>
      <c r="J15" s="4" t="s">
        <v>83</v>
      </c>
      <c r="K15" s="4">
        <v>1</v>
      </c>
      <c r="L15" s="4">
        <v>4</v>
      </c>
      <c r="M15" s="4">
        <f t="shared" si="1"/>
        <v>4</v>
      </c>
      <c r="N15" s="4" t="s">
        <v>84</v>
      </c>
      <c r="O15" s="4" t="str">
        <f t="shared" si="3"/>
        <v>High</v>
      </c>
      <c r="P15" s="4" t="str">
        <f t="shared" si="2"/>
        <v>Low</v>
      </c>
      <c r="Q15" s="4">
        <f>RANK(M15,$M$5:$M$19,0)+COUNTIF($M$5:M15,M15)-1</f>
        <v>9</v>
      </c>
    </row>
    <row r="16" spans="1:17" ht="43.5" customHeight="1" x14ac:dyDescent="0.3">
      <c r="A16" s="4" t="s">
        <v>85</v>
      </c>
      <c r="B16" s="5" t="s">
        <v>86</v>
      </c>
      <c r="C16" s="4" t="s">
        <v>80</v>
      </c>
      <c r="D16" s="4">
        <v>2</v>
      </c>
      <c r="E16" s="4">
        <v>3</v>
      </c>
      <c r="F16" s="4">
        <f t="shared" si="0"/>
        <v>6</v>
      </c>
      <c r="G16" s="5" t="s">
        <v>87</v>
      </c>
      <c r="H16" s="5" t="s">
        <v>88</v>
      </c>
      <c r="I16" s="4" t="s">
        <v>24</v>
      </c>
      <c r="J16" s="4" t="s">
        <v>89</v>
      </c>
      <c r="K16" s="4">
        <v>1</v>
      </c>
      <c r="L16" s="4">
        <v>2</v>
      </c>
      <c r="M16" s="4">
        <f t="shared" si="1"/>
        <v>2</v>
      </c>
      <c r="N16" s="4" t="s">
        <v>48</v>
      </c>
      <c r="O16" s="4" t="str">
        <f t="shared" si="3"/>
        <v>Low</v>
      </c>
      <c r="P16" s="4" t="str">
        <f t="shared" si="2"/>
        <v>Low</v>
      </c>
      <c r="Q16" s="4">
        <f>RANK(M16,$M$5:$M$19,0)+COUNTIF($M$5:M16,M16)-1</f>
        <v>14</v>
      </c>
    </row>
    <row r="17" spans="1:17" ht="43.5" customHeight="1" x14ac:dyDescent="0.3">
      <c r="A17" s="4" t="s">
        <v>90</v>
      </c>
      <c r="B17" s="5" t="s">
        <v>91</v>
      </c>
      <c r="C17" s="4" t="s">
        <v>80</v>
      </c>
      <c r="D17" s="4">
        <v>2</v>
      </c>
      <c r="E17" s="4">
        <v>3</v>
      </c>
      <c r="F17" s="4">
        <f t="shared" si="0"/>
        <v>6</v>
      </c>
      <c r="G17" s="5" t="s">
        <v>92</v>
      </c>
      <c r="H17" s="5" t="s">
        <v>93</v>
      </c>
      <c r="I17" s="4" t="s">
        <v>24</v>
      </c>
      <c r="J17" s="4" t="s">
        <v>89</v>
      </c>
      <c r="K17" s="4">
        <v>1</v>
      </c>
      <c r="L17" s="4">
        <v>2</v>
      </c>
      <c r="M17" s="4">
        <f t="shared" si="1"/>
        <v>2</v>
      </c>
      <c r="N17" s="4" t="s">
        <v>42</v>
      </c>
      <c r="O17" s="4" t="str">
        <f t="shared" si="3"/>
        <v>Low</v>
      </c>
      <c r="P17" s="4" t="str">
        <f t="shared" si="2"/>
        <v>Low</v>
      </c>
      <c r="Q17" s="4">
        <f>RANK(M17,$M$5:$M$19,0)+COUNTIF($M$5:M17,M17)-1</f>
        <v>15</v>
      </c>
    </row>
    <row r="18" spans="1:17" ht="43.5" customHeight="1" x14ac:dyDescent="0.3">
      <c r="A18" s="4" t="s">
        <v>94</v>
      </c>
      <c r="B18" s="5" t="s">
        <v>95</v>
      </c>
      <c r="C18" s="4" t="s">
        <v>80</v>
      </c>
      <c r="D18" s="4">
        <v>2</v>
      </c>
      <c r="E18" s="4">
        <v>5</v>
      </c>
      <c r="F18" s="4">
        <f t="shared" si="0"/>
        <v>10</v>
      </c>
      <c r="G18" s="5" t="s">
        <v>96</v>
      </c>
      <c r="H18" s="5" t="s">
        <v>97</v>
      </c>
      <c r="I18" s="4" t="s">
        <v>24</v>
      </c>
      <c r="J18" s="4" t="s">
        <v>25</v>
      </c>
      <c r="K18" s="4">
        <v>1</v>
      </c>
      <c r="L18" s="4">
        <v>4</v>
      </c>
      <c r="M18" s="4">
        <f t="shared" si="1"/>
        <v>4</v>
      </c>
      <c r="N18" s="4" t="s">
        <v>98</v>
      </c>
      <c r="O18" s="4" t="str">
        <f t="shared" si="3"/>
        <v>Medium</v>
      </c>
      <c r="P18" s="4" t="str">
        <f t="shared" si="2"/>
        <v>Low</v>
      </c>
      <c r="Q18" s="4">
        <f>RANK(M18,$M$5:$M$19,0)+COUNTIF($M$5:M18,M18)-1</f>
        <v>10</v>
      </c>
    </row>
    <row r="19" spans="1:17" ht="43.5" customHeight="1" x14ac:dyDescent="0.3">
      <c r="A19" s="4" t="s">
        <v>99</v>
      </c>
      <c r="B19" s="5" t="s">
        <v>100</v>
      </c>
      <c r="C19" s="4" t="s">
        <v>80</v>
      </c>
      <c r="D19" s="4">
        <v>3</v>
      </c>
      <c r="E19" s="4">
        <v>3</v>
      </c>
      <c r="F19" s="4">
        <f t="shared" si="0"/>
        <v>9</v>
      </c>
      <c r="G19" s="5" t="s">
        <v>101</v>
      </c>
      <c r="H19" s="5" t="s">
        <v>102</v>
      </c>
      <c r="I19" s="4" t="s">
        <v>103</v>
      </c>
      <c r="J19" s="4" t="s">
        <v>66</v>
      </c>
      <c r="K19" s="4">
        <v>2</v>
      </c>
      <c r="L19" s="4">
        <v>2</v>
      </c>
      <c r="M19" s="4">
        <f t="shared" si="1"/>
        <v>4</v>
      </c>
      <c r="N19" s="4" t="s">
        <v>104</v>
      </c>
      <c r="O19" s="4" t="str">
        <f t="shared" si="3"/>
        <v>Medium</v>
      </c>
      <c r="P19" s="4" t="str">
        <f t="shared" si="2"/>
        <v>Low</v>
      </c>
      <c r="Q19" s="4">
        <f>RANK(M19,$M$5:$M$19,0)+COUNTIF($M$5:M19,M19)-1</f>
        <v>11</v>
      </c>
    </row>
    <row r="21" spans="1:17" x14ac:dyDescent="0.3">
      <c r="A21" s="6" t="s">
        <v>105</v>
      </c>
    </row>
    <row r="22" spans="1:17" x14ac:dyDescent="0.3">
      <c r="A22" s="24" t="s">
        <v>106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spans="1:17" x14ac:dyDescent="0.3">
      <c r="A23" s="24" t="s">
        <v>277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spans="1:17" x14ac:dyDescent="0.3">
      <c r="A24" s="24" t="s">
        <v>107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</sheetData>
  <mergeCells count="5">
    <mergeCell ref="A1:P1"/>
    <mergeCell ref="A2:P2"/>
    <mergeCell ref="A22:P22"/>
    <mergeCell ref="A23:P23"/>
    <mergeCell ref="A24:P24"/>
  </mergeCells>
  <conditionalFormatting sqref="F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9">
    <cfRule type="cellIs" dxfId="8" priority="25" operator="lessThanOrEqual">
      <formula>6</formula>
    </cfRule>
    <cfRule type="cellIs" dxfId="7" priority="26" operator="between">
      <formula>7</formula>
      <formula>12</formula>
    </cfRule>
    <cfRule type="cellIs" dxfId="6" priority="27" operator="greaterThan">
      <formula>12</formula>
    </cfRule>
  </conditionalFormatting>
  <conditionalFormatting sqref="M5:M19">
    <cfRule type="cellIs" dxfId="5" priority="28" operator="lessThanOrEqual">
      <formula>6</formula>
    </cfRule>
    <cfRule type="cellIs" dxfId="4" priority="29" operator="between">
      <formula>7</formula>
      <formula>12</formula>
    </cfRule>
    <cfRule type="cellIs" dxfId="3" priority="30" operator="greaterThan">
      <formula>12</formula>
    </cfRule>
  </conditionalFormatting>
  <conditionalFormatting sqref="O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{8E12B311-03DB-401C-BD39-EB0F4F4930F2}</x14:id>
        </ext>
      </extLst>
    </cfRule>
  </conditionalFormatting>
  <conditionalFormatting sqref="O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P19">
    <cfRule type="cellIs" dxfId="2" priority="31" operator="equal">
      <formula>"Low"</formula>
    </cfRule>
    <cfRule type="cellIs" dxfId="1" priority="32" operator="equal">
      <formula>"Medium"</formula>
    </cfRule>
    <cfRule type="cellIs" dxfId="0" priority="33" operator="equal">
      <formula>"High"</formula>
    </cfRule>
  </conditionalFormatting>
  <conditionalFormatting sqref="P5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dataValidations count="3">
    <dataValidation type="list" sqref="C5:C19" xr:uid="{00000000-0002-0000-0000-000000000000}">
      <formula1>"Operational,Cyber,Compliance"</formula1>
      <formula2>0</formula2>
    </dataValidation>
    <dataValidation type="list" sqref="D5:E19 K5:L19" xr:uid="{00000000-0002-0000-0000-000001000000}">
      <formula1>"1,2,3,4,5"</formula1>
      <formula2>0</formula2>
    </dataValidation>
    <dataValidation type="list" sqref="I5:I19" xr:uid="{00000000-0002-0000-0000-000002000000}">
      <formula1>"Treat,Tolerate,Transfer,Terminate"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12B311-03DB-401C-BD39-EB0F4F4930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showGridLines="0" tabSelected="1" zoomScaleNormal="100" workbookViewId="0">
      <selection activeCell="B23" sqref="B23"/>
    </sheetView>
  </sheetViews>
  <sheetFormatPr defaultColWidth="8.6640625" defaultRowHeight="14.4" x14ac:dyDescent="0.3"/>
  <cols>
    <col min="1" max="1" width="8" customWidth="1"/>
    <col min="2" max="3" width="55" customWidth="1"/>
  </cols>
  <sheetData>
    <row r="1" spans="1:3" ht="24" customHeight="1" x14ac:dyDescent="0.4">
      <c r="A1" s="22" t="s">
        <v>108</v>
      </c>
      <c r="B1" s="22"/>
      <c r="C1" s="22"/>
    </row>
    <row r="2" spans="1:3" x14ac:dyDescent="0.3">
      <c r="A2" s="23" t="s">
        <v>109</v>
      </c>
      <c r="B2" s="23"/>
      <c r="C2" s="23"/>
    </row>
    <row r="3" spans="1:3" ht="6" customHeight="1" x14ac:dyDescent="0.3"/>
    <row r="4" spans="1:3" ht="21.75" customHeight="1" x14ac:dyDescent="0.3">
      <c r="A4" s="3" t="s">
        <v>110</v>
      </c>
      <c r="B4" s="3" t="s">
        <v>111</v>
      </c>
      <c r="C4" s="3" t="s">
        <v>112</v>
      </c>
    </row>
    <row r="5" spans="1:3" ht="39.75" customHeight="1" x14ac:dyDescent="0.3">
      <c r="A5" s="7">
        <v>1</v>
      </c>
      <c r="B5" s="5" t="s">
        <v>113</v>
      </c>
      <c r="C5" s="5" t="s">
        <v>114</v>
      </c>
    </row>
    <row r="6" spans="1:3" ht="39.75" customHeight="1" x14ac:dyDescent="0.3">
      <c r="A6" s="7">
        <v>2</v>
      </c>
      <c r="B6" s="5" t="s">
        <v>115</v>
      </c>
      <c r="C6" s="5" t="s">
        <v>116</v>
      </c>
    </row>
    <row r="7" spans="1:3" ht="39.75" customHeight="1" x14ac:dyDescent="0.3">
      <c r="A7" s="8">
        <v>3</v>
      </c>
      <c r="B7" s="5" t="s">
        <v>117</v>
      </c>
      <c r="C7" s="5" t="s">
        <v>118</v>
      </c>
    </row>
    <row r="8" spans="1:3" ht="39.75" customHeight="1" x14ac:dyDescent="0.3">
      <c r="A8" s="9">
        <v>4</v>
      </c>
      <c r="B8" s="5" t="s">
        <v>119</v>
      </c>
      <c r="C8" s="5" t="s">
        <v>120</v>
      </c>
    </row>
    <row r="9" spans="1:3" ht="39.75" customHeight="1" x14ac:dyDescent="0.3">
      <c r="A9" s="9">
        <v>5</v>
      </c>
      <c r="B9" s="5" t="s">
        <v>121</v>
      </c>
      <c r="C9" s="5" t="s">
        <v>122</v>
      </c>
    </row>
    <row r="11" spans="1:3" x14ac:dyDescent="0.3">
      <c r="A11" s="6" t="s">
        <v>123</v>
      </c>
    </row>
    <row r="12" spans="1:3" x14ac:dyDescent="0.3">
      <c r="A12" s="1" t="s">
        <v>278</v>
      </c>
    </row>
  </sheetData>
  <mergeCells count="2">
    <mergeCell ref="A1:C1"/>
    <mergeCell ref="A2:C2"/>
  </mergeCells>
  <conditionalFormatting sqref="A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showGridLines="0" zoomScaleNormal="100" workbookViewId="0">
      <selection activeCell="G15" sqref="G15"/>
    </sheetView>
  </sheetViews>
  <sheetFormatPr defaultColWidth="8.6640625" defaultRowHeight="14.4" x14ac:dyDescent="0.3"/>
  <cols>
    <col min="1" max="1" width="11" customWidth="1"/>
    <col min="2" max="2" width="34" customWidth="1"/>
    <col min="3" max="3" width="15" customWidth="1"/>
    <col min="4" max="4" width="60" customWidth="1"/>
    <col min="5" max="5" width="16" customWidth="1"/>
  </cols>
  <sheetData>
    <row r="1" spans="1:5" ht="24" customHeight="1" x14ac:dyDescent="0.4">
      <c r="A1" s="22" t="s">
        <v>124</v>
      </c>
      <c r="B1" s="22"/>
      <c r="C1" s="22"/>
      <c r="D1" s="22"/>
      <c r="E1" s="22"/>
    </row>
    <row r="2" spans="1:5" x14ac:dyDescent="0.3">
      <c r="A2" s="23" t="s">
        <v>125</v>
      </c>
      <c r="B2" s="23"/>
      <c r="C2" s="23"/>
      <c r="D2" s="23"/>
      <c r="E2" s="23"/>
    </row>
    <row r="3" spans="1:5" ht="6" customHeight="1" x14ac:dyDescent="0.3"/>
    <row r="4" spans="1:5" ht="21.75" customHeight="1" x14ac:dyDescent="0.3">
      <c r="A4" s="3" t="s">
        <v>126</v>
      </c>
      <c r="B4" s="3" t="s">
        <v>127</v>
      </c>
      <c r="C4" s="3" t="s">
        <v>4</v>
      </c>
      <c r="D4" s="3" t="s">
        <v>128</v>
      </c>
      <c r="E4" s="3" t="s">
        <v>129</v>
      </c>
    </row>
    <row r="5" spans="1:5" ht="33.75" customHeight="1" x14ac:dyDescent="0.3">
      <c r="A5" s="4" t="s">
        <v>130</v>
      </c>
      <c r="B5" s="5" t="s">
        <v>131</v>
      </c>
      <c r="C5" s="4" t="s">
        <v>132</v>
      </c>
      <c r="D5" s="5" t="s">
        <v>133</v>
      </c>
      <c r="E5" s="4" t="s">
        <v>134</v>
      </c>
    </row>
    <row r="6" spans="1:5" ht="33.75" customHeight="1" x14ac:dyDescent="0.3">
      <c r="A6" s="4" t="s">
        <v>135</v>
      </c>
      <c r="B6" s="5" t="s">
        <v>136</v>
      </c>
      <c r="C6" s="4" t="s">
        <v>137</v>
      </c>
      <c r="D6" s="5" t="s">
        <v>138</v>
      </c>
      <c r="E6" s="4" t="s">
        <v>134</v>
      </c>
    </row>
    <row r="7" spans="1:5" ht="33.75" customHeight="1" x14ac:dyDescent="0.3">
      <c r="A7" s="4" t="s">
        <v>139</v>
      </c>
      <c r="B7" s="5" t="s">
        <v>140</v>
      </c>
      <c r="C7" s="4" t="s">
        <v>137</v>
      </c>
      <c r="D7" s="5" t="s">
        <v>141</v>
      </c>
      <c r="E7" s="4" t="s">
        <v>142</v>
      </c>
    </row>
    <row r="8" spans="1:5" ht="33.75" customHeight="1" x14ac:dyDescent="0.3">
      <c r="A8" s="4" t="s">
        <v>34</v>
      </c>
      <c r="B8" s="5" t="s">
        <v>143</v>
      </c>
      <c r="C8" s="4" t="s">
        <v>137</v>
      </c>
      <c r="D8" s="5" t="s">
        <v>144</v>
      </c>
      <c r="E8" s="4" t="s">
        <v>134</v>
      </c>
    </row>
    <row r="9" spans="1:5" ht="33.75" customHeight="1" x14ac:dyDescent="0.3">
      <c r="A9" s="4" t="s">
        <v>145</v>
      </c>
      <c r="B9" s="5" t="s">
        <v>146</v>
      </c>
      <c r="C9" s="4" t="s">
        <v>137</v>
      </c>
      <c r="D9" s="5" t="s">
        <v>147</v>
      </c>
      <c r="E9" s="4" t="s">
        <v>148</v>
      </c>
    </row>
    <row r="10" spans="1:5" ht="33.75" customHeight="1" x14ac:dyDescent="0.3">
      <c r="A10" s="4" t="s">
        <v>45</v>
      </c>
      <c r="B10" s="5" t="s">
        <v>149</v>
      </c>
      <c r="C10" s="4" t="s">
        <v>137</v>
      </c>
      <c r="D10" s="5" t="s">
        <v>150</v>
      </c>
      <c r="E10" s="4" t="s">
        <v>134</v>
      </c>
    </row>
    <row r="11" spans="1:5" ht="33.75" customHeight="1" x14ac:dyDescent="0.3">
      <c r="A11" s="4" t="s">
        <v>52</v>
      </c>
      <c r="B11" s="5" t="s">
        <v>151</v>
      </c>
      <c r="C11" s="4" t="s">
        <v>132</v>
      </c>
      <c r="D11" s="5" t="s">
        <v>152</v>
      </c>
      <c r="E11" s="4" t="s">
        <v>142</v>
      </c>
    </row>
    <row r="12" spans="1:5" ht="33.75" customHeight="1" x14ac:dyDescent="0.3">
      <c r="A12" s="4" t="s">
        <v>153</v>
      </c>
      <c r="B12" s="5" t="s">
        <v>154</v>
      </c>
      <c r="C12" s="4" t="s">
        <v>132</v>
      </c>
      <c r="D12" s="5" t="s">
        <v>155</v>
      </c>
      <c r="E12" s="4" t="s">
        <v>142</v>
      </c>
    </row>
    <row r="13" spans="1:5" ht="33.75" customHeight="1" x14ac:dyDescent="0.3">
      <c r="A13" s="4" t="s">
        <v>64</v>
      </c>
      <c r="B13" s="5" t="s">
        <v>156</v>
      </c>
      <c r="C13" s="4" t="s">
        <v>132</v>
      </c>
      <c r="D13" s="5" t="s">
        <v>157</v>
      </c>
      <c r="E13" s="4" t="s">
        <v>148</v>
      </c>
    </row>
    <row r="14" spans="1:5" ht="33.75" customHeight="1" x14ac:dyDescent="0.3">
      <c r="A14" s="4" t="s">
        <v>70</v>
      </c>
      <c r="B14" s="5" t="s">
        <v>158</v>
      </c>
      <c r="C14" s="4" t="s">
        <v>137</v>
      </c>
      <c r="D14" s="5" t="s">
        <v>159</v>
      </c>
      <c r="E14" s="4" t="s">
        <v>142</v>
      </c>
    </row>
    <row r="15" spans="1:5" ht="33.75" customHeight="1" x14ac:dyDescent="0.3">
      <c r="A15" s="4" t="s">
        <v>74</v>
      </c>
      <c r="B15" s="5" t="s">
        <v>160</v>
      </c>
      <c r="C15" s="4" t="s">
        <v>161</v>
      </c>
      <c r="D15" s="5" t="s">
        <v>162</v>
      </c>
      <c r="E15" s="4" t="s">
        <v>134</v>
      </c>
    </row>
    <row r="16" spans="1:5" ht="33.75" customHeight="1" x14ac:dyDescent="0.3">
      <c r="A16" s="4" t="s">
        <v>163</v>
      </c>
      <c r="B16" s="5" t="s">
        <v>164</v>
      </c>
      <c r="C16" s="4" t="s">
        <v>132</v>
      </c>
      <c r="D16" s="5" t="s">
        <v>165</v>
      </c>
      <c r="E16" s="4" t="s">
        <v>134</v>
      </c>
    </row>
    <row r="17" spans="1:5" ht="33.75" customHeight="1" x14ac:dyDescent="0.3">
      <c r="A17" s="4" t="s">
        <v>87</v>
      </c>
      <c r="B17" s="5" t="s">
        <v>166</v>
      </c>
      <c r="C17" s="4" t="s">
        <v>132</v>
      </c>
      <c r="D17" s="5" t="s">
        <v>167</v>
      </c>
      <c r="E17" s="4" t="s">
        <v>134</v>
      </c>
    </row>
    <row r="18" spans="1:5" ht="33.75" customHeight="1" x14ac:dyDescent="0.3">
      <c r="A18" s="4" t="s">
        <v>92</v>
      </c>
      <c r="B18" s="5" t="s">
        <v>168</v>
      </c>
      <c r="C18" s="4" t="s">
        <v>132</v>
      </c>
      <c r="D18" s="5" t="s">
        <v>169</v>
      </c>
      <c r="E18" s="4" t="s">
        <v>148</v>
      </c>
    </row>
    <row r="19" spans="1:5" ht="33.75" customHeight="1" x14ac:dyDescent="0.3">
      <c r="A19" s="4" t="s">
        <v>96</v>
      </c>
      <c r="B19" s="5" t="s">
        <v>170</v>
      </c>
      <c r="C19" s="4" t="s">
        <v>137</v>
      </c>
      <c r="D19" s="5" t="s">
        <v>171</v>
      </c>
      <c r="E19" s="4" t="s">
        <v>148</v>
      </c>
    </row>
    <row r="20" spans="1:5" ht="33.75" customHeight="1" x14ac:dyDescent="0.3">
      <c r="A20" s="4" t="s">
        <v>101</v>
      </c>
      <c r="B20" s="5" t="s">
        <v>172</v>
      </c>
      <c r="C20" s="4" t="s">
        <v>132</v>
      </c>
      <c r="D20" s="5" t="s">
        <v>173</v>
      </c>
      <c r="E20" s="4" t="s">
        <v>134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showGridLines="0" zoomScaleNormal="100" workbookViewId="0">
      <selection activeCell="C13" sqref="C13"/>
    </sheetView>
  </sheetViews>
  <sheetFormatPr defaultColWidth="8.6640625" defaultRowHeight="14.4" x14ac:dyDescent="0.3"/>
  <cols>
    <col min="1" max="1" width="30" customWidth="1"/>
    <col min="2" max="2" width="15" customWidth="1"/>
    <col min="3" max="3" width="40" customWidth="1"/>
    <col min="4" max="4" width="45" customWidth="1"/>
  </cols>
  <sheetData>
    <row r="1" spans="1:6" ht="24" customHeight="1" x14ac:dyDescent="0.4">
      <c r="A1" s="22" t="s">
        <v>174</v>
      </c>
      <c r="B1" s="22"/>
      <c r="C1" s="22"/>
      <c r="D1" s="22"/>
    </row>
    <row r="2" spans="1:6" x14ac:dyDescent="0.3">
      <c r="A2" s="23" t="s">
        <v>175</v>
      </c>
      <c r="B2" s="23"/>
      <c r="C2" s="23"/>
      <c r="D2" s="23"/>
    </row>
    <row r="3" spans="1:6" ht="6" customHeight="1" x14ac:dyDescent="0.3"/>
    <row r="4" spans="1:6" ht="15" customHeight="1" x14ac:dyDescent="0.3">
      <c r="A4" s="25" t="s">
        <v>176</v>
      </c>
      <c r="B4" s="25"/>
      <c r="C4" s="25"/>
      <c r="D4" s="25"/>
      <c r="E4" s="25"/>
      <c r="F4" s="25"/>
    </row>
    <row r="5" spans="1:6" x14ac:dyDescent="0.3">
      <c r="A5" s="25"/>
      <c r="B5" s="25"/>
      <c r="C5" s="25"/>
      <c r="D5" s="25"/>
      <c r="E5" s="25"/>
      <c r="F5" s="25"/>
    </row>
    <row r="6" spans="1:6" x14ac:dyDescent="0.3">
      <c r="A6" s="25"/>
      <c r="B6" s="25"/>
      <c r="C6" s="25"/>
      <c r="D6" s="25"/>
      <c r="E6" s="25"/>
      <c r="F6" s="25"/>
    </row>
    <row r="7" spans="1:6" x14ac:dyDescent="0.3">
      <c r="A7" s="25"/>
      <c r="B7" s="25"/>
      <c r="C7" s="25"/>
      <c r="D7" s="25"/>
      <c r="E7" s="25"/>
      <c r="F7" s="25"/>
    </row>
    <row r="9" spans="1:6" ht="16.8" x14ac:dyDescent="0.3">
      <c r="A9" s="10" t="s">
        <v>177</v>
      </c>
    </row>
    <row r="10" spans="1:6" ht="21.75" customHeight="1" x14ac:dyDescent="0.3">
      <c r="A10" s="3" t="s">
        <v>178</v>
      </c>
      <c r="B10" s="3" t="s">
        <v>179</v>
      </c>
      <c r="C10" s="3" t="s">
        <v>180</v>
      </c>
      <c r="D10" s="3" t="s">
        <v>181</v>
      </c>
    </row>
    <row r="11" spans="1:6" ht="36" customHeight="1" x14ac:dyDescent="0.3">
      <c r="A11" s="5" t="s">
        <v>182</v>
      </c>
      <c r="B11" s="5" t="s">
        <v>183</v>
      </c>
      <c r="C11" s="5" t="s">
        <v>279</v>
      </c>
      <c r="D11" s="5" t="s">
        <v>184</v>
      </c>
    </row>
    <row r="12" spans="1:6" ht="36" customHeight="1" x14ac:dyDescent="0.3">
      <c r="A12" s="5" t="s">
        <v>185</v>
      </c>
      <c r="B12" s="5" t="s">
        <v>186</v>
      </c>
      <c r="C12" s="5" t="s">
        <v>280</v>
      </c>
      <c r="D12" s="5" t="s">
        <v>187</v>
      </c>
    </row>
    <row r="13" spans="1:6" ht="36" customHeight="1" x14ac:dyDescent="0.3">
      <c r="A13" s="5" t="s">
        <v>188</v>
      </c>
      <c r="B13" s="5" t="s">
        <v>189</v>
      </c>
      <c r="C13" s="5" t="s">
        <v>281</v>
      </c>
      <c r="D13" s="5" t="s">
        <v>190</v>
      </c>
    </row>
  </sheetData>
  <mergeCells count="3">
    <mergeCell ref="A1:D1"/>
    <mergeCell ref="A2:D2"/>
    <mergeCell ref="A4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2"/>
  <sheetViews>
    <sheetView showGridLines="0" topLeftCell="A21" zoomScaleNormal="100" workbookViewId="0">
      <selection activeCell="A43" sqref="A43"/>
    </sheetView>
  </sheetViews>
  <sheetFormatPr defaultColWidth="8.6640625" defaultRowHeight="14.4" x14ac:dyDescent="0.3"/>
  <cols>
    <col min="1" max="1" width="95" customWidth="1"/>
    <col min="2" max="2" width="10" customWidth="1"/>
  </cols>
  <sheetData>
    <row r="1" spans="1:2" ht="24" customHeight="1" x14ac:dyDescent="0.4">
      <c r="A1" s="22" t="s">
        <v>191</v>
      </c>
      <c r="B1" s="22"/>
    </row>
    <row r="2" spans="1:2" x14ac:dyDescent="0.3">
      <c r="A2" s="23" t="s">
        <v>192</v>
      </c>
      <c r="B2" s="23"/>
    </row>
    <row r="3" spans="1:2" ht="6" customHeight="1" x14ac:dyDescent="0.3"/>
    <row r="4" spans="1:2" ht="16.8" x14ac:dyDescent="0.3">
      <c r="A4" s="10" t="s">
        <v>193</v>
      </c>
    </row>
    <row r="5" spans="1:2" ht="27.75" customHeight="1" x14ac:dyDescent="0.3">
      <c r="A5" s="25" t="s">
        <v>194</v>
      </c>
      <c r="B5" s="25"/>
    </row>
    <row r="6" spans="1:2" ht="27.75" customHeight="1" x14ac:dyDescent="0.3">
      <c r="A6" s="25" t="s">
        <v>195</v>
      </c>
      <c r="B6" s="25"/>
    </row>
    <row r="7" spans="1:2" ht="27.75" customHeight="1" x14ac:dyDescent="0.3">
      <c r="A7" s="25" t="s">
        <v>196</v>
      </c>
      <c r="B7" s="25"/>
    </row>
    <row r="9" spans="1:2" ht="16.8" x14ac:dyDescent="0.3">
      <c r="A9" s="10" t="s">
        <v>197</v>
      </c>
    </row>
    <row r="10" spans="1:2" ht="27.75" customHeight="1" x14ac:dyDescent="0.3">
      <c r="A10" s="25" t="s">
        <v>198</v>
      </c>
      <c r="B10" s="25"/>
    </row>
    <row r="11" spans="1:2" ht="27.75" customHeight="1" x14ac:dyDescent="0.3">
      <c r="A11" s="25" t="s">
        <v>199</v>
      </c>
      <c r="B11" s="25"/>
    </row>
    <row r="12" spans="1:2" ht="27.75" customHeight="1" x14ac:dyDescent="0.3">
      <c r="A12" s="25" t="s">
        <v>282</v>
      </c>
      <c r="B12" s="25"/>
    </row>
    <row r="14" spans="1:2" ht="16.8" x14ac:dyDescent="0.3">
      <c r="A14" s="10" t="s">
        <v>200</v>
      </c>
    </row>
    <row r="15" spans="1:2" ht="27.75" customHeight="1" x14ac:dyDescent="0.3">
      <c r="A15" s="25" t="s">
        <v>201</v>
      </c>
      <c r="B15" s="25"/>
    </row>
    <row r="16" spans="1:2" ht="27.75" customHeight="1" x14ac:dyDescent="0.3">
      <c r="A16" s="25" t="s">
        <v>202</v>
      </c>
      <c r="B16" s="25"/>
    </row>
    <row r="17" spans="1:2" ht="27.75" customHeight="1" x14ac:dyDescent="0.3">
      <c r="A17" s="25" t="s">
        <v>203</v>
      </c>
      <c r="B17" s="25"/>
    </row>
    <row r="19" spans="1:2" ht="16.8" x14ac:dyDescent="0.3">
      <c r="A19" s="10" t="s">
        <v>204</v>
      </c>
    </row>
    <row r="20" spans="1:2" ht="27.75" customHeight="1" x14ac:dyDescent="0.3">
      <c r="A20" s="25" t="s">
        <v>205</v>
      </c>
      <c r="B20" s="25"/>
    </row>
    <row r="21" spans="1:2" ht="27.75" customHeight="1" x14ac:dyDescent="0.3">
      <c r="A21" s="25" t="s">
        <v>206</v>
      </c>
      <c r="B21" s="25"/>
    </row>
    <row r="22" spans="1:2" ht="27.75" customHeight="1" x14ac:dyDescent="0.3">
      <c r="A22" s="25" t="s">
        <v>207</v>
      </c>
      <c r="B22" s="25"/>
    </row>
    <row r="24" spans="1:2" ht="16.8" x14ac:dyDescent="0.3">
      <c r="A24" s="10" t="s">
        <v>208</v>
      </c>
    </row>
    <row r="25" spans="1:2" ht="27.75" customHeight="1" x14ac:dyDescent="0.3">
      <c r="A25" s="25" t="s">
        <v>209</v>
      </c>
      <c r="B25" s="25"/>
    </row>
    <row r="26" spans="1:2" ht="27.75" customHeight="1" x14ac:dyDescent="0.3">
      <c r="A26" s="25" t="s">
        <v>210</v>
      </c>
      <c r="B26" s="25"/>
    </row>
    <row r="27" spans="1:2" ht="27.75" customHeight="1" x14ac:dyDescent="0.3">
      <c r="A27" s="25" t="s">
        <v>211</v>
      </c>
      <c r="B27" s="25"/>
    </row>
    <row r="29" spans="1:2" ht="16.8" x14ac:dyDescent="0.3">
      <c r="A29" s="10" t="s">
        <v>212</v>
      </c>
    </row>
    <row r="30" spans="1:2" ht="27.75" customHeight="1" x14ac:dyDescent="0.3">
      <c r="A30" s="25" t="s">
        <v>213</v>
      </c>
      <c r="B30" s="25"/>
    </row>
    <row r="31" spans="1:2" ht="27.75" customHeight="1" x14ac:dyDescent="0.3">
      <c r="A31" s="25" t="s">
        <v>283</v>
      </c>
      <c r="B31" s="25"/>
    </row>
    <row r="32" spans="1:2" ht="27.75" customHeight="1" x14ac:dyDescent="0.3">
      <c r="A32" s="25" t="s">
        <v>214</v>
      </c>
      <c r="B32" s="25"/>
    </row>
  </sheetData>
  <mergeCells count="20">
    <mergeCell ref="A26:B26"/>
    <mergeCell ref="A27:B27"/>
    <mergeCell ref="A30:B30"/>
    <mergeCell ref="A31:B31"/>
    <mergeCell ref="A32:B32"/>
    <mergeCell ref="A17:B17"/>
    <mergeCell ref="A20:B20"/>
    <mergeCell ref="A21:B21"/>
    <mergeCell ref="A22:B22"/>
    <mergeCell ref="A25:B25"/>
    <mergeCell ref="A10:B10"/>
    <mergeCell ref="A11:B11"/>
    <mergeCell ref="A12:B12"/>
    <mergeCell ref="A15:B15"/>
    <mergeCell ref="A16:B16"/>
    <mergeCell ref="A1:B1"/>
    <mergeCell ref="A2:B2"/>
    <mergeCell ref="A5:B5"/>
    <mergeCell ref="A6:B6"/>
    <mergeCell ref="A7:B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showGridLines="0" topLeftCell="A17" zoomScaleNormal="100" workbookViewId="0">
      <selection activeCell="C12" sqref="C12"/>
    </sheetView>
  </sheetViews>
  <sheetFormatPr defaultColWidth="8.6640625" defaultRowHeight="14.4" x14ac:dyDescent="0.3"/>
  <cols>
    <col min="1" max="1" width="16" customWidth="1"/>
    <col min="2" max="2" width="10" customWidth="1"/>
    <col min="3" max="3" width="4" customWidth="1"/>
    <col min="4" max="4" width="16" customWidth="1"/>
    <col min="5" max="5" width="8" customWidth="1"/>
    <col min="6" max="6" width="10" customWidth="1"/>
    <col min="7" max="7" width="42" customWidth="1"/>
    <col min="8" max="8" width="14" customWidth="1"/>
  </cols>
  <sheetData>
    <row r="1" spans="1:8" ht="24" customHeight="1" x14ac:dyDescent="0.4">
      <c r="A1" s="22" t="s">
        <v>215</v>
      </c>
      <c r="B1" s="22"/>
      <c r="C1" s="22"/>
      <c r="D1" s="22"/>
      <c r="E1" s="22"/>
      <c r="F1" s="22"/>
      <c r="G1" s="22"/>
      <c r="H1" s="22"/>
    </row>
    <row r="2" spans="1:8" x14ac:dyDescent="0.3">
      <c r="A2" s="23" t="s">
        <v>216</v>
      </c>
      <c r="B2" s="23"/>
      <c r="C2" s="23"/>
      <c r="D2" s="23"/>
      <c r="E2" s="23"/>
      <c r="F2" s="23"/>
      <c r="G2" s="23"/>
      <c r="H2" s="23"/>
    </row>
    <row r="3" spans="1:8" ht="6" customHeight="1" x14ac:dyDescent="0.3"/>
    <row r="4" spans="1:8" ht="16.8" x14ac:dyDescent="0.3">
      <c r="A4" s="10" t="s">
        <v>217</v>
      </c>
      <c r="D4" s="10" t="s">
        <v>218</v>
      </c>
    </row>
    <row r="5" spans="1:8" x14ac:dyDescent="0.3">
      <c r="A5" s="3" t="s">
        <v>4</v>
      </c>
      <c r="B5" s="3" t="s">
        <v>219</v>
      </c>
      <c r="D5" s="3" t="s">
        <v>220</v>
      </c>
      <c r="E5" s="3" t="s">
        <v>219</v>
      </c>
    </row>
    <row r="6" spans="1:8" x14ac:dyDescent="0.3">
      <c r="A6" s="11" t="s">
        <v>51</v>
      </c>
      <c r="B6" s="12">
        <f>COUNTIF('Risk Register'!$C$5:$C$19,A6)</f>
        <v>5</v>
      </c>
      <c r="D6" s="13" t="s">
        <v>183</v>
      </c>
      <c r="E6" s="12">
        <f>COUNTIF('Risk Register'!$P$5:$P$19,D6)</f>
        <v>14</v>
      </c>
    </row>
    <row r="7" spans="1:8" x14ac:dyDescent="0.3">
      <c r="A7" s="11" t="s">
        <v>21</v>
      </c>
      <c r="B7" s="12">
        <f>COUNTIF('Risk Register'!$C$5:$C$19,A7)</f>
        <v>5</v>
      </c>
      <c r="D7" s="14" t="s">
        <v>221</v>
      </c>
      <c r="E7" s="12">
        <f>COUNTIF('Risk Register'!$P$5:$P$19,D7)</f>
        <v>1</v>
      </c>
    </row>
    <row r="8" spans="1:8" x14ac:dyDescent="0.3">
      <c r="A8" s="11" t="s">
        <v>80</v>
      </c>
      <c r="B8" s="12">
        <f>COUNTIF('Risk Register'!$C$5:$C$19,A8)</f>
        <v>5</v>
      </c>
      <c r="D8" s="15" t="s">
        <v>222</v>
      </c>
      <c r="E8" s="12">
        <f>COUNTIF('Risk Register'!$P$5:$P$19,D8)</f>
        <v>0</v>
      </c>
    </row>
    <row r="10" spans="1:8" ht="16.8" x14ac:dyDescent="0.3">
      <c r="A10" s="10" t="s">
        <v>223</v>
      </c>
      <c r="E10" s="10" t="s">
        <v>224</v>
      </c>
    </row>
    <row r="11" spans="1:8" ht="55.2" x14ac:dyDescent="0.3">
      <c r="A11" s="3" t="s">
        <v>10</v>
      </c>
      <c r="B11" s="3" t="s">
        <v>219</v>
      </c>
      <c r="C11" s="3" t="s">
        <v>225</v>
      </c>
      <c r="E11" s="3" t="s">
        <v>226</v>
      </c>
      <c r="F11" s="3" t="s">
        <v>2</v>
      </c>
      <c r="G11" s="3" t="s">
        <v>3</v>
      </c>
      <c r="H11" s="3" t="s">
        <v>14</v>
      </c>
    </row>
    <row r="12" spans="1:8" ht="30" customHeight="1" x14ac:dyDescent="0.3">
      <c r="A12" s="11" t="s">
        <v>24</v>
      </c>
      <c r="B12" s="12">
        <f>COUNTIF('Risk Register'!$I$5:$I$19,A12)</f>
        <v>14</v>
      </c>
      <c r="C12" s="16">
        <v>0.93</v>
      </c>
      <c r="E12" s="12">
        <v>1</v>
      </c>
      <c r="F12" s="12" t="str">
        <f>INDEX('Risk Register'!$A$5:$A$19,MATCH(1,'Risk Register'!$Q$5:$Q$19,0))</f>
        <v>R02</v>
      </c>
      <c r="G12" s="5" t="str">
        <f>INDEX('Risk Register'!$B$5:$B$19,MATCH(1,'Risk Register'!$Q$5:$Q$19,0))</f>
        <v>Ransomware infection encrypts production systems, halting business operations.</v>
      </c>
      <c r="H12" s="12">
        <f>INDEX('Risk Register'!$M$5:$M$19,MATCH(1,'Risk Register'!$Q$5:$Q$19,0))</f>
        <v>8</v>
      </c>
    </row>
    <row r="13" spans="1:8" ht="30" customHeight="1" x14ac:dyDescent="0.3">
      <c r="A13" s="11" t="s">
        <v>103</v>
      </c>
      <c r="B13" s="12">
        <f>COUNTIF('Risk Register'!$I$5:$I$19,A13)</f>
        <v>1</v>
      </c>
      <c r="C13" s="16">
        <f>IFERROR(B13/SUM($B$12:$B$15),0)</f>
        <v>6.6666666666666666E-2</v>
      </c>
      <c r="E13" s="12">
        <v>2</v>
      </c>
      <c r="F13" s="12" t="str">
        <f>INDEX('Risk Register'!$A$5:$A$19,MATCH(2,'Risk Register'!$Q$5:$Q$19,0))</f>
        <v>R01</v>
      </c>
      <c r="G13" s="5" t="str">
        <f>INDEX('Risk Register'!$B$5:$B$19,MATCH(2,'Risk Register'!$Q$5:$Q$19,0))</f>
        <v>Phishing attack leads to compromised employee credentials, enabling unauthorised system access.</v>
      </c>
      <c r="H13" s="12">
        <f>INDEX('Risk Register'!$M$5:$M$19,MATCH(2,'Risk Register'!$Q$5:$Q$19,0))</f>
        <v>6</v>
      </c>
    </row>
    <row r="14" spans="1:8" ht="30" customHeight="1" x14ac:dyDescent="0.3">
      <c r="A14" s="11" t="s">
        <v>227</v>
      </c>
      <c r="B14" s="12">
        <f>COUNTIF('Risk Register'!$I$5:$I$19,A14)</f>
        <v>0</v>
      </c>
      <c r="C14" s="16">
        <f>IFERROR(B14/SUM($B$12:$B$15),0)</f>
        <v>0</v>
      </c>
      <c r="E14" s="12">
        <v>3</v>
      </c>
      <c r="F14" s="12" t="str">
        <f>INDEX('Risk Register'!$A$5:$A$19,MATCH(3,'Risk Register'!$Q$5:$Q$19,0))</f>
        <v>R03</v>
      </c>
      <c r="G14" s="5" t="str">
        <f>INDEX('Risk Register'!$B$5:$B$19,MATCH(3,'Risk Register'!$Q$5:$Q$19,0))</f>
        <v>Unpatched critical vulnerabilities on internet-facing systems are exploited by threat actors.</v>
      </c>
      <c r="H14" s="12">
        <f>INDEX('Risk Register'!$M$5:$M$19,MATCH(3,'Risk Register'!$Q$5:$Q$19,0))</f>
        <v>6</v>
      </c>
    </row>
    <row r="15" spans="1:8" x14ac:dyDescent="0.3">
      <c r="A15" s="11" t="s">
        <v>228</v>
      </c>
      <c r="B15" s="12">
        <f>COUNTIF('Risk Register'!$I$5:$I$19,A15)</f>
        <v>0</v>
      </c>
      <c r="C15" s="16">
        <f>IFERROR(B15/SUM($B$12:$B$15),0)</f>
        <v>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2"/>
  <sheetViews>
    <sheetView showGridLines="0" zoomScaleNormal="100" workbookViewId="0">
      <selection activeCell="A11" sqref="A11:G11"/>
    </sheetView>
  </sheetViews>
  <sheetFormatPr defaultColWidth="8.6640625" defaultRowHeight="14.4" x14ac:dyDescent="0.3"/>
  <cols>
    <col min="1" max="1" width="22" customWidth="1"/>
    <col min="2" max="7" width="8" customWidth="1"/>
  </cols>
  <sheetData>
    <row r="1" spans="1:14" ht="24" customHeight="1" x14ac:dyDescent="0.4">
      <c r="A1" s="22" t="s">
        <v>229</v>
      </c>
      <c r="B1" s="22"/>
      <c r="C1" s="22"/>
      <c r="D1" s="22"/>
      <c r="E1" s="22"/>
      <c r="F1" s="22"/>
      <c r="G1" s="22"/>
    </row>
    <row r="2" spans="1:14" x14ac:dyDescent="0.3">
      <c r="A2" s="23" t="s">
        <v>230</v>
      </c>
      <c r="B2" s="23"/>
      <c r="C2" s="23"/>
      <c r="D2" s="23"/>
      <c r="E2" s="23"/>
      <c r="F2" s="23"/>
      <c r="G2" s="23"/>
    </row>
    <row r="3" spans="1:14" ht="6" customHeight="1" x14ac:dyDescent="0.3"/>
    <row r="4" spans="1:14" ht="27.6" x14ac:dyDescent="0.3">
      <c r="A4" s="3" t="s">
        <v>231</v>
      </c>
      <c r="B4" s="17">
        <v>1</v>
      </c>
      <c r="C4" s="17">
        <v>2</v>
      </c>
      <c r="D4" s="17">
        <v>3</v>
      </c>
      <c r="E4" s="17">
        <v>4</v>
      </c>
      <c r="F4" s="17">
        <v>5</v>
      </c>
    </row>
    <row r="5" spans="1:14" ht="25.5" customHeight="1" x14ac:dyDescent="0.3">
      <c r="A5" s="17">
        <v>5</v>
      </c>
      <c r="B5" s="18">
        <f>COUNTIFS('Risk Register'!$D$5:$D$19,5,'Risk Register'!$E$5:$E$19,1)</f>
        <v>0</v>
      </c>
      <c r="C5" s="19">
        <f>COUNTIFS('Risk Register'!$D$5:$D$19,5,'Risk Register'!$E$5:$E$19,2)</f>
        <v>0</v>
      </c>
      <c r="D5" s="20">
        <f>COUNTIFS('Risk Register'!$D$5:$D$19,5,'Risk Register'!$E$5:$E$19,3)</f>
        <v>0</v>
      </c>
      <c r="E5" s="20">
        <f>COUNTIFS('Risk Register'!$D$5:$D$19,5,'Risk Register'!$E$5:$E$19,4)</f>
        <v>0</v>
      </c>
      <c r="F5" s="20">
        <f>COUNTIFS('Risk Register'!$D$5:$D$19,5,'Risk Register'!$E$5:$E$19,5)</f>
        <v>0</v>
      </c>
    </row>
    <row r="6" spans="1:14" ht="25.5" customHeight="1" x14ac:dyDescent="0.3">
      <c r="A6" s="17">
        <v>4</v>
      </c>
      <c r="B6" s="18">
        <f>COUNTIFS('Risk Register'!$D$5:$D$19,4,'Risk Register'!$E$5:$E$19,1)</f>
        <v>0</v>
      </c>
      <c r="C6" s="19">
        <f>COUNTIFS('Risk Register'!$D$5:$D$19,4,'Risk Register'!$E$5:$E$19,2)</f>
        <v>0</v>
      </c>
      <c r="D6" s="19">
        <f>COUNTIFS('Risk Register'!$D$5:$D$19,4,'Risk Register'!$E$5:$E$19,3)</f>
        <v>0</v>
      </c>
      <c r="E6" s="20">
        <f>COUNTIFS('Risk Register'!$D$5:$D$19,4,'Risk Register'!$E$5:$E$19,4)</f>
        <v>1</v>
      </c>
      <c r="F6" s="20">
        <f>COUNTIFS('Risk Register'!$D$5:$D$19,4,'Risk Register'!$E$5:$E$19,5)</f>
        <v>0</v>
      </c>
    </row>
    <row r="7" spans="1:14" ht="25.5" customHeight="1" x14ac:dyDescent="0.3">
      <c r="A7" s="17">
        <v>3</v>
      </c>
      <c r="B7" s="18">
        <f>COUNTIFS('Risk Register'!$D$5:$D$19,3,'Risk Register'!$E$5:$E$19,1)</f>
        <v>0</v>
      </c>
      <c r="C7" s="18">
        <f>COUNTIFS('Risk Register'!$D$5:$D$19,3,'Risk Register'!$E$5:$E$19,2)</f>
        <v>0</v>
      </c>
      <c r="D7" s="19">
        <f>COUNTIFS('Risk Register'!$D$5:$D$19,3,'Risk Register'!$E$5:$E$19,3)</f>
        <v>2</v>
      </c>
      <c r="E7" s="19">
        <f>COUNTIFS('Risk Register'!$D$5:$D$19,3,'Risk Register'!$E$5:$E$19,4)</f>
        <v>3</v>
      </c>
      <c r="F7" s="20">
        <f>COUNTIFS('Risk Register'!$D$5:$D$19,3,'Risk Register'!$E$5:$E$19,5)</f>
        <v>2</v>
      </c>
    </row>
    <row r="8" spans="1:14" ht="25.5" customHeight="1" x14ac:dyDescent="0.3">
      <c r="A8" s="17">
        <v>2</v>
      </c>
      <c r="B8" s="18">
        <f>COUNTIFS('Risk Register'!$D$5:$D$19,2,'Risk Register'!$E$5:$E$19,1)</f>
        <v>0</v>
      </c>
      <c r="C8" s="18">
        <f>COUNTIFS('Risk Register'!$D$5:$D$19,2,'Risk Register'!$E$5:$E$19,2)</f>
        <v>0</v>
      </c>
      <c r="D8" s="18">
        <f>COUNTIFS('Risk Register'!$D$5:$D$19,2,'Risk Register'!$E$5:$E$19,3)</f>
        <v>3</v>
      </c>
      <c r="E8" s="19">
        <f>COUNTIFS('Risk Register'!$D$5:$D$19,2,'Risk Register'!$E$5:$E$19,4)</f>
        <v>1</v>
      </c>
      <c r="F8" s="19">
        <f>COUNTIFS('Risk Register'!$D$5:$D$19,2,'Risk Register'!$E$5:$E$19,5)</f>
        <v>3</v>
      </c>
    </row>
    <row r="9" spans="1:14" ht="25.5" customHeight="1" x14ac:dyDescent="0.3">
      <c r="A9" s="17">
        <v>1</v>
      </c>
      <c r="B9" s="18">
        <f>COUNTIFS('Risk Register'!$D$5:$D$19,1,'Risk Register'!$E$5:$E$19,1)</f>
        <v>0</v>
      </c>
      <c r="C9" s="18">
        <f>COUNTIFS('Risk Register'!$D$5:$D$19,1,'Risk Register'!$E$5:$E$19,2)</f>
        <v>0</v>
      </c>
      <c r="D9" s="18">
        <f>COUNTIFS('Risk Register'!$D$5:$D$19,1,'Risk Register'!$E$5:$E$19,3)</f>
        <v>0</v>
      </c>
      <c r="E9" s="18">
        <f>COUNTIFS('Risk Register'!$D$5:$D$19,1,'Risk Register'!$E$5:$E$19,4)</f>
        <v>0</v>
      </c>
      <c r="F9" s="18">
        <f>COUNTIFS('Risk Register'!$D$5:$D$19,1,'Risk Register'!$E$5:$E$19,5)</f>
        <v>0</v>
      </c>
    </row>
    <row r="10" spans="1:14" x14ac:dyDescent="0.3">
      <c r="A10" s="2" t="s">
        <v>232</v>
      </c>
    </row>
    <row r="11" spans="1:14" x14ac:dyDescent="0.3">
      <c r="A11" s="24" t="s">
        <v>233</v>
      </c>
      <c r="B11" s="24"/>
      <c r="C11" s="24"/>
      <c r="D11" s="24"/>
      <c r="E11" s="24"/>
      <c r="F11" s="24"/>
      <c r="G11" s="24"/>
    </row>
    <row r="12" spans="1:14" x14ac:dyDescent="0.3">
      <c r="A12" s="24" t="s">
        <v>284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</row>
  </sheetData>
  <mergeCells count="5">
    <mergeCell ref="A1:G1"/>
    <mergeCell ref="A2:G2"/>
    <mergeCell ref="A11:G11"/>
    <mergeCell ref="A12:G12"/>
    <mergeCell ref="H12:N12"/>
  </mergeCells>
  <conditionalFormatting sqref="E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22" customWidth="1"/>
    <col min="2" max="2" width="26" customWidth="1"/>
    <col min="3" max="3" width="12" customWidth="1"/>
    <col min="4" max="5" width="38" customWidth="1"/>
    <col min="6" max="6" width="14" customWidth="1"/>
  </cols>
  <sheetData>
    <row r="1" spans="1:6" ht="24" customHeight="1" x14ac:dyDescent="0.4">
      <c r="A1" s="22" t="s">
        <v>234</v>
      </c>
      <c r="B1" s="22"/>
      <c r="C1" s="22"/>
      <c r="D1" s="22"/>
      <c r="E1" s="22"/>
      <c r="F1" s="22"/>
    </row>
    <row r="2" spans="1:6" x14ac:dyDescent="0.3">
      <c r="A2" s="23" t="s">
        <v>235</v>
      </c>
      <c r="B2" s="23"/>
      <c r="C2" s="23"/>
      <c r="D2" s="23"/>
      <c r="E2" s="23"/>
      <c r="F2" s="23"/>
    </row>
    <row r="3" spans="1:6" ht="6" customHeight="1" x14ac:dyDescent="0.3"/>
    <row r="4" spans="1:6" ht="21.75" customHeight="1" x14ac:dyDescent="0.3">
      <c r="A4" s="3" t="s">
        <v>236</v>
      </c>
      <c r="B4" s="3" t="s">
        <v>237</v>
      </c>
      <c r="C4" s="3" t="s">
        <v>238</v>
      </c>
      <c r="D4" s="3" t="s">
        <v>239</v>
      </c>
      <c r="E4" s="3" t="s">
        <v>240</v>
      </c>
      <c r="F4" s="3" t="s">
        <v>241</v>
      </c>
    </row>
    <row r="5" spans="1:6" ht="39.75" customHeight="1" x14ac:dyDescent="0.3">
      <c r="A5" s="4" t="s">
        <v>242</v>
      </c>
      <c r="B5" s="4" t="s">
        <v>243</v>
      </c>
      <c r="C5" s="4" t="s">
        <v>244</v>
      </c>
      <c r="D5" s="5" t="s">
        <v>245</v>
      </c>
      <c r="E5" s="5" t="s">
        <v>246</v>
      </c>
      <c r="F5" s="4" t="s">
        <v>247</v>
      </c>
    </row>
    <row r="6" spans="1:6" ht="39.75" customHeight="1" x14ac:dyDescent="0.3">
      <c r="A6" s="4" t="s">
        <v>248</v>
      </c>
      <c r="B6" s="4" t="s">
        <v>249</v>
      </c>
      <c r="C6" s="4" t="s">
        <v>244</v>
      </c>
      <c r="D6" s="5" t="s">
        <v>250</v>
      </c>
      <c r="E6" s="5" t="s">
        <v>251</v>
      </c>
      <c r="F6" s="4" t="s">
        <v>247</v>
      </c>
    </row>
    <row r="7" spans="1:6" ht="39.75" customHeight="1" x14ac:dyDescent="0.3">
      <c r="A7" s="4" t="s">
        <v>252</v>
      </c>
      <c r="B7" s="4" t="s">
        <v>253</v>
      </c>
      <c r="C7" s="4" t="s">
        <v>222</v>
      </c>
      <c r="D7" s="5" t="s">
        <v>254</v>
      </c>
      <c r="E7" s="5" t="s">
        <v>255</v>
      </c>
      <c r="F7" s="4" t="s">
        <v>247</v>
      </c>
    </row>
    <row r="8" spans="1:6" ht="39.75" customHeight="1" x14ac:dyDescent="0.3">
      <c r="A8" s="4" t="s">
        <v>256</v>
      </c>
      <c r="B8" s="4" t="s">
        <v>257</v>
      </c>
      <c r="C8" s="4" t="s">
        <v>244</v>
      </c>
      <c r="D8" s="5" t="s">
        <v>258</v>
      </c>
      <c r="E8" s="5" t="s">
        <v>259</v>
      </c>
      <c r="F8" s="4" t="s">
        <v>247</v>
      </c>
    </row>
    <row r="9" spans="1:6" ht="39.75" customHeight="1" x14ac:dyDescent="0.3">
      <c r="A9" s="4" t="s">
        <v>260</v>
      </c>
      <c r="B9" s="4" t="s">
        <v>261</v>
      </c>
      <c r="C9" s="4" t="s">
        <v>222</v>
      </c>
      <c r="D9" s="5" t="s">
        <v>262</v>
      </c>
      <c r="E9" s="5" t="s">
        <v>263</v>
      </c>
      <c r="F9" s="4" t="s">
        <v>247</v>
      </c>
    </row>
    <row r="10" spans="1:6" ht="39.75" customHeight="1" x14ac:dyDescent="0.3">
      <c r="A10" s="4" t="s">
        <v>264</v>
      </c>
      <c r="B10" s="4" t="s">
        <v>265</v>
      </c>
      <c r="C10" s="4" t="s">
        <v>244</v>
      </c>
      <c r="D10" s="5" t="s">
        <v>266</v>
      </c>
      <c r="E10" s="5" t="s">
        <v>267</v>
      </c>
      <c r="F10" s="4" t="s">
        <v>247</v>
      </c>
    </row>
    <row r="11" spans="1:6" ht="39.75" customHeight="1" x14ac:dyDescent="0.3">
      <c r="A11" s="4" t="s">
        <v>268</v>
      </c>
      <c r="B11" s="4" t="s">
        <v>269</v>
      </c>
      <c r="C11" s="4" t="s">
        <v>221</v>
      </c>
      <c r="D11" s="5" t="s">
        <v>270</v>
      </c>
      <c r="E11" s="5" t="s">
        <v>271</v>
      </c>
      <c r="F11" s="4" t="s">
        <v>247</v>
      </c>
    </row>
    <row r="12" spans="1:6" ht="39.75" customHeight="1" x14ac:dyDescent="0.3">
      <c r="A12" s="4" t="s">
        <v>272</v>
      </c>
      <c r="B12" s="4" t="s">
        <v>273</v>
      </c>
      <c r="C12" s="4" t="s">
        <v>183</v>
      </c>
      <c r="D12" s="5" t="s">
        <v>274</v>
      </c>
      <c r="E12" s="5" t="s">
        <v>275</v>
      </c>
      <c r="F12" s="4" t="s">
        <v>276</v>
      </c>
    </row>
  </sheetData>
  <mergeCells count="2">
    <mergeCell ref="A1:F1"/>
    <mergeCell ref="A2:F2"/>
  </mergeCells>
  <dataValidations count="2">
    <dataValidation type="list" sqref="F5:F12" xr:uid="{00000000-0002-0000-0700-000000000000}">
      <formula1>"Active,Under Review,Offboarding,Terminated"</formula1>
      <formula2>0</formula2>
    </dataValidation>
    <dataValidation type="list" sqref="C5:C12" xr:uid="{00000000-0002-0000-0700-000001000000}">
      <formula1>"Critical,High,Medium,Low"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Risk Register</vt:lpstr>
      <vt:lpstr>Scoring Scale</vt:lpstr>
      <vt:lpstr>Control Library</vt:lpstr>
      <vt:lpstr>Risk Appetite</vt:lpstr>
      <vt:lpstr>Methodology</vt:lpstr>
      <vt:lpstr>Dashboard</vt:lpstr>
      <vt:lpstr>Heat Map</vt:lpstr>
      <vt:lpstr>Third-Party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Fatiha Abdullateef</cp:lastModifiedBy>
  <cp:revision>1</cp:revision>
  <dcterms:created xsi:type="dcterms:W3CDTF">2026-09-24T19:20:46Z</dcterms:created>
  <dcterms:modified xsi:type="dcterms:W3CDTF">2026-09-27T21:06:59Z</dcterms:modified>
  <dc:language>en-US</dc:language>
</cp:coreProperties>
</file>